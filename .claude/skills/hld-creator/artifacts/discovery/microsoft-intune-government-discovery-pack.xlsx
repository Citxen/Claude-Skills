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Discovery register" sheetId="2" state="visible" r:id="rId2"/>
    <sheet name="Device estate" sheetId="3" state="visible" r:id="rId3"/>
    <sheet name="Applications" sheetId="4" state="visible" r:id="rId4"/>
    <sheet name="GPO mapping" sheetId="5" state="visible" r:id="rId5"/>
    <sheet name="ConfigMgr" sheetId="6" state="visible" r:id="rId6"/>
    <sheet name="Identity and groups" sheetId="7" state="visible" r:id="rId7"/>
    <sheet name="Network and PKI" sheetId="8" state="visible" r:id="rId8"/>
    <sheet name="Security baselines" sheetId="9" state="visible" r:id="rId9"/>
    <sheet name="Government" sheetId="10" state="visible" r:id="rId10"/>
    <sheet name="Personas" sheetId="11" state="visible" r:id="rId11"/>
    <sheet name="Licensing" sheetId="12" state="visible" r:id="rId12"/>
    <sheet name="Rollout rings" sheetId="13" state="visible" r:id="rId13"/>
    <sheet name="Tooling" sheetId="14" state="visible" r:id="rId14"/>
    <sheet name="Workshops" sheetId="15" state="visible" r:id="rId15"/>
    <sheet name="RAID and decisions" sheetId="16" state="visible" r:id="rId16"/>
    <sheet name="Sources" sheetId="17" state="visible" r:id="rId17"/>
    <sheet name="Dashboard" sheetId="18" state="visible" r:id="rId18"/>
  </sheets>
  <definedNames>
    <definedName name="_xlnm._FilterDatabase" localSheetId="1" hidden="1">'Discovery register'!$A$4:$M$173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i val="1"/>
      <color rgb="00595959"/>
      <sz val="10"/>
    </font>
    <font>
      <name val="Arial"/>
      <b val="1"/>
      <color rgb="00FFFFFF"/>
      <sz val="10"/>
    </font>
    <font>
      <name val="Arial"/>
      <sz val="10"/>
    </font>
    <font>
      <name val="Arial"/>
      <i val="1"/>
      <color rgb="00808080"/>
      <sz val="10"/>
    </font>
  </fonts>
  <fills count="5">
    <fill>
      <patternFill/>
    </fill>
    <fill>
      <patternFill patternType="gray125"/>
    </fill>
    <fill>
      <patternFill patternType="solid">
        <fgColor rgb="001F3864"/>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0" borderId="1" applyAlignment="1" pivotButton="0" quotePrefix="0" xfId="0">
      <alignment vertical="top" wrapText="1"/>
    </xf>
    <xf numFmtId="0" fontId="4" fillId="4" borderId="1" applyAlignment="1" pivotButton="0" quotePrefix="0" xfId="0">
      <alignment vertical="top" wrapText="1"/>
    </xf>
    <xf numFmtId="0" fontId="4" fillId="3"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pane ySplit="4" topLeftCell="A5" activePane="bottomLeft" state="frozen"/>
      <selection pane="bottomLeft" activeCell="A1" sqref="A1"/>
    </sheetView>
  </sheetViews>
  <sheetFormatPr baseColWidth="8" defaultRowHeight="15"/>
  <cols>
    <col width="26" customWidth="1" min="1" max="1"/>
    <col width="116" customWidth="1" min="2" max="2"/>
  </cols>
  <sheetData>
    <row r="1">
      <c r="A1" s="1" t="inlineStr">
        <is>
          <t>Microsoft Intune for Government - Discovery Pack</t>
        </is>
      </c>
    </row>
    <row r="2">
      <c r="A2" s="2" t="inlineStr">
        <is>
          <t>Information gathering for the High Level Design. No design decisions, no solution content.</t>
        </is>
      </c>
    </row>
    <row r="4" ht="30" customHeight="1">
      <c r="A4" s="3" t="inlineStr">
        <is>
          <t>Item</t>
        </is>
      </c>
      <c r="B4" s="3" t="inlineStr">
        <is>
          <t>Detail</t>
        </is>
      </c>
    </row>
    <row r="5">
      <c r="A5" s="4" t="inlineStr">
        <is>
          <t>Purpose</t>
        </is>
      </c>
      <c r="B5" s="4" t="inlineStr">
        <is>
          <t>Gather every input needed to write the High Level Design. This pack is for information gathering only - it contains no design decisions and no solution content.</t>
        </is>
      </c>
    </row>
    <row r="6">
      <c r="A6" s="4" t="inlineStr">
        <is>
          <t>How it is structured</t>
        </is>
      </c>
      <c r="B6" s="4" t="inlineStr">
        <is>
          <t>'Discovery register' is the master list of questions. The other tabs are inventory templates and trackers that the register points to. 'Dashboard' counts progress. 'Sources' records every reference used and how current it is.</t>
        </is>
      </c>
    </row>
    <row r="7">
      <c r="A7" s="4" t="inlineStr">
        <is>
          <t>How to use it</t>
        </is>
      </c>
      <c r="B7" s="4" t="inlineStr">
        <is>
          <t>Work the register domain by domain. For each row: agree who owns the answer, gather it by the method in 'How to obtain', record the answer and a link to the evidence, then set Status. Anything still Open when discovery closes becomes an assumption or an open issue in the HLD.</t>
        </is>
      </c>
    </row>
    <row r="8">
      <c r="A8" s="4" t="inlineStr">
        <is>
          <t>Cells to fill in</t>
        </is>
      </c>
      <c r="B8" s="4" t="inlineStr">
        <is>
          <t>Shaded cells are for you to complete. Grey italic rows are worked examples showing the expected format - delete them before use.</t>
        </is>
      </c>
    </row>
    <row r="9">
      <c r="A9" s="4" t="inlineStr">
        <is>
          <t>Traceability</t>
        </is>
      </c>
      <c r="B9" s="4" t="inlineStr">
        <is>
          <t>Every register row names the HLD section it feeds, so you can see what is still missing before writing starts, and nothing is gathered that no section needs.</t>
        </is>
      </c>
    </row>
    <row r="10">
      <c r="A10" s="4" t="inlineStr">
        <is>
          <t>Government flags</t>
        </is>
      </c>
      <c r="B10" s="4" t="inlineStr">
        <is>
          <t>Rows shaded orange mark a capability that is absent or restricted in GCC High / DoD. Confirm each one against the Microsoft government service description before the design assumes it.</t>
        </is>
      </c>
    </row>
    <row r="11">
      <c r="A11" s="4" t="inlineStr">
        <is>
          <t>Audit periods</t>
        </is>
      </c>
      <c r="B11" s="4" t="inlineStr">
        <is>
          <t>Some answers need observation, not a workshop. Start the elevation audit and any application usage telemetry in week one, or they become the critical path.</t>
        </is>
      </c>
    </row>
    <row r="12">
      <c r="A12" s="4" t="inlineStr">
        <is>
          <t>Currency warning</t>
        </is>
      </c>
      <c r="B12" s="4" t="inlineStr">
        <is>
          <t>Intune changes monthly. Re-check the 'Sources' tab dates before relying on any feature statement; the government feature tables in particular move.</t>
        </is>
      </c>
    </row>
    <row r="13">
      <c r="A13" s="4" t="inlineStr">
        <is>
          <t>Dashboard note</t>
        </is>
      </c>
      <c r="B13" s="4" t="inlineStr">
        <is>
          <t>The dashboard counts are formulas. They populate when the workbook is opened in a spreadsheet application.</t>
        </is>
      </c>
    </row>
    <row r="14">
      <c r="A14" s="4" t="inlineStr">
        <is>
          <t>Built</t>
        </is>
      </c>
      <c r="B14" s="4" t="inlineStr">
        <is>
          <t>Built 2026-09-30, rebuilt through the discovery-creator skill 2026-09-30. Structure follows the Microsoft Intune planning guide (7 steps) and the Microsoft 'IDPDIG - Table templates' download; see 'Sources'.</t>
        </is>
      </c>
    </row>
    <row r="15">
      <c r="A15" s="4" t="inlineStr">
        <is>
          <t>Refreshing this pack</t>
        </is>
      </c>
      <c r="B15" s="4" t="inlineStr">
        <is>
          <t>The spec beside this file is the source of truth. Update the pack with: /discovery-creator Microsoft Intune government --refresh microsoft-intune-government-discovery-pack.xlsx</t>
        </is>
      </c>
    </row>
    <row r="16">
      <c r="A16" s="4" t="inlineStr">
        <is>
          <t>Next step</t>
        </is>
      </c>
      <c r="B16" s="4" t="inlineStr">
        <is>
          <t>When every Must-priority row is answered or owned: /hld-creator Microsoft Intune government --skeleton, then the full run.</t>
        </is>
      </c>
    </row>
    <row r="17">
      <c r="A17" s="4" t="inlineStr"/>
      <c r="B17" s="4" t="inlineStr"/>
    </row>
    <row r="18">
      <c r="A18" s="4" t="inlineStr">
        <is>
          <t>Tabs</t>
        </is>
      </c>
      <c r="B18" s="4" t="inlineStr"/>
    </row>
    <row r="19">
      <c r="A19" s="4" t="inlineStr">
        <is>
          <t>Discovery register</t>
        </is>
      </c>
      <c r="B19" s="4" t="inlineStr">
        <is>
          <t>Master question list: 169 questions across 17 domains, each traced to an HLD section.</t>
        </is>
      </c>
    </row>
    <row r="20">
      <c r="A20" s="4" t="inlineStr">
        <is>
          <t>Device estate</t>
        </is>
      </c>
      <c r="B20" s="4" t="inlineStr">
        <is>
          <t>Per-cohort device inventory: counts, OS, join state, enrolment, Windows 11 readiness.</t>
        </is>
      </c>
    </row>
    <row r="21">
      <c r="A21" s="4" t="inlineStr">
        <is>
          <t>Applications</t>
        </is>
      </c>
      <c r="B21" s="4" t="inlineStr">
        <is>
          <t>Application inventory and rationalisation decisions.</t>
        </is>
      </c>
    </row>
    <row r="22">
      <c r="A22" s="4" t="inlineStr">
        <is>
          <t>GPO mapping</t>
        </is>
      </c>
      <c r="B22" s="4" t="inlineStr">
        <is>
          <t>GPO inventory and translation tracker for Group Policy analytics output.</t>
        </is>
      </c>
    </row>
    <row r="23">
      <c r="A23" s="4" t="inlineStr">
        <is>
          <t>ConfigMgr</t>
        </is>
      </c>
      <c r="B23" s="4" t="inlineStr">
        <is>
          <t>Configuration Manager estate and co-management workload assessment.</t>
        </is>
      </c>
    </row>
    <row r="24">
      <c r="A24" s="4" t="inlineStr">
        <is>
          <t>Identity and groups</t>
        </is>
      </c>
      <c r="B24" s="4" t="inlineStr">
        <is>
          <t>Tenants, directory sync, Conditional Access, group and RBAC structure.</t>
        </is>
      </c>
    </row>
    <row r="25">
      <c r="A25" s="4" t="inlineStr">
        <is>
          <t>Network and PKI</t>
        </is>
      </c>
      <c r="B25" s="4" t="inlineStr">
        <is>
          <t>Sites, proxy and TLS inspection, endpoint allow-listing, certificate infrastructure.</t>
        </is>
      </c>
    </row>
    <row r="26">
      <c r="A26" s="4" t="inlineStr">
        <is>
          <t>Security baselines</t>
        </is>
      </c>
      <c r="B26" s="4" t="inlineStr">
        <is>
          <t>Current and target baselines mapped to CIS, STIG, NCSC and Essential Eight.</t>
        </is>
      </c>
    </row>
    <row r="27">
      <c r="A27" s="4" t="inlineStr">
        <is>
          <t>Government</t>
        </is>
      </c>
      <c r="B27" s="4" t="inlineStr">
        <is>
          <t>Environment, classification, accreditation route and the GCC High / DoD feature gap check.</t>
        </is>
      </c>
    </row>
    <row r="28">
      <c r="A28" s="4" t="inlineStr">
        <is>
          <t>Personas</t>
        </is>
      </c>
      <c r="B28" s="4" t="inlineStr">
        <is>
          <t>Persona catalogue with apps, data classification and device needs.</t>
        </is>
      </c>
    </row>
    <row r="29">
      <c r="A29" s="4" t="inlineStr">
        <is>
          <t>Licensing</t>
        </is>
      </c>
      <c r="B29" s="4" t="inlineStr">
        <is>
          <t>Entitlements held against entitlements each capability requires.</t>
        </is>
      </c>
    </row>
    <row r="30">
      <c r="A30" s="4" t="inlineStr">
        <is>
          <t>Rollout rings</t>
        </is>
      </c>
      <c r="B30" s="4" t="inlineStr">
        <is>
          <t>Ring and pilot structure, and the deployment-plan constraints in public preview.</t>
        </is>
      </c>
    </row>
    <row r="31">
      <c r="A31" s="4" t="inlineStr">
        <is>
          <t>Tooling</t>
        </is>
      </c>
      <c r="B31" s="4" t="inlineStr">
        <is>
          <t>Every data-collection tool, what it gathers, permissions needed and its caveats.</t>
        </is>
      </c>
    </row>
    <row r="32">
      <c r="A32" s="4" t="inlineStr">
        <is>
          <t>Workshops</t>
        </is>
      </c>
      <c r="B32" s="4" t="inlineStr">
        <is>
          <t>Nine workshops: attendees, duration, inputs, outputs and the register rows each closes.</t>
        </is>
      </c>
    </row>
    <row r="33">
      <c r="A33" s="4" t="inlineStr">
        <is>
          <t>RAID and decisions</t>
        </is>
      </c>
      <c r="B33" s="4" t="inlineStr">
        <is>
          <t>Risks, assumptions, issues, dependencies and the decisions discovery must surface.</t>
        </is>
      </c>
    </row>
    <row r="34">
      <c r="A34" s="4" t="inlineStr">
        <is>
          <t>Sources</t>
        </is>
      </c>
      <c r="B34" s="4" t="inlineStr">
        <is>
          <t>Every source used, with publication and access dates, and the comment-section assessment.</t>
        </is>
      </c>
    </row>
    <row r="35">
      <c r="A35" s="4" t="inlineStr">
        <is>
          <t>Dashboard</t>
        </is>
      </c>
      <c r="B35" s="4" t="inlineStr">
        <is>
          <t>Progress by domain and by status.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3"/>
  <sheetViews>
    <sheetView workbookViewId="0">
      <pane ySplit="4" topLeftCell="A5" activePane="bottomLeft" state="frozen"/>
      <selection pane="bottomLeft" activeCell="A1" sqref="A1"/>
    </sheetView>
  </sheetViews>
  <sheetFormatPr baseColWidth="8" defaultRowHeight="15"/>
  <cols>
    <col width="7" customWidth="1" min="1" max="1"/>
    <col width="22" customWidth="1" min="2" max="2"/>
    <col width="58" customWidth="1" min="3" max="3"/>
    <col width="30" customWidth="1" min="4" max="4"/>
    <col width="46" customWidth="1" min="5" max="5"/>
    <col width="22" customWidth="1" min="6" max="6"/>
    <col width="9" customWidth="1" min="7" max="7"/>
    <col width="8" customWidth="1" min="8" max="8"/>
    <col width="44" customWidth="1" min="9" max="9"/>
    <col width="34" customWidth="1" min="10" max="10"/>
    <col width="20" customWidth="1" min="11" max="11"/>
    <col width="11" customWidth="1" min="12" max="12"/>
    <col width="11" customWidth="1" min="13" max="13"/>
  </cols>
  <sheetData>
    <row r="1">
      <c r="A1" s="1" t="inlineStr">
        <is>
          <t>Discovery register</t>
        </is>
      </c>
    </row>
    <row r="2">
      <c r="A2" s="2" t="inlineStr">
        <is>
          <t>One row per question. Fill Answer, Evidence link, Status and Confidence. Orange rows flag a GCC High / DoD limitation to confirm.</t>
        </is>
      </c>
    </row>
    <row r="4" ht="30" customHeight="1">
      <c r="A4" s="3" t="inlineStr">
        <is>
          <t>ID</t>
        </is>
      </c>
      <c r="B4" s="3" t="inlineStr">
        <is>
          <t>Domain</t>
        </is>
      </c>
      <c r="C4" s="3" t="inlineStr">
        <is>
          <t>Question or data point</t>
        </is>
      </c>
      <c r="D4" s="3" t="inlineStr">
        <is>
          <t>Why it matters (HLD section)</t>
        </is>
      </c>
      <c r="E4" s="3" t="inlineStr">
        <is>
          <t>How to obtain</t>
        </is>
      </c>
      <c r="F4" s="3" t="inlineStr">
        <is>
          <t>Who owns the answer</t>
        </is>
      </c>
      <c r="G4" s="3" t="inlineStr">
        <is>
          <t>Priority</t>
        </is>
      </c>
      <c r="H4" s="3" t="inlineStr">
        <is>
          <t>Workshop</t>
        </is>
      </c>
      <c r="I4" s="3" t="inlineStr">
        <is>
          <t>Government flag to confirm</t>
        </is>
      </c>
      <c r="J4" s="3" t="inlineStr">
        <is>
          <t>Answer</t>
        </is>
      </c>
      <c r="K4" s="3" t="inlineStr">
        <is>
          <t>Evidence link</t>
        </is>
      </c>
      <c r="L4" s="3" t="inlineStr">
        <is>
          <t>Status</t>
        </is>
      </c>
      <c r="M4" s="3" t="inlineStr">
        <is>
          <t>Confidence</t>
        </is>
      </c>
    </row>
    <row r="5">
      <c r="A5" s="4" t="inlineStr">
        <is>
          <t>A01</t>
        </is>
      </c>
      <c r="B5" s="4" t="inlineStr">
        <is>
          <t>Objectives and scope</t>
        </is>
      </c>
      <c r="C5" s="4" t="inlineStr">
        <is>
          <t>What business outcomes must endpoint management deliver over the next 12-36 months?</t>
        </is>
      </c>
      <c r="D5" s="4" t="inlineStr">
        <is>
          <t>2, 3 Executive summary, scope</t>
        </is>
      </c>
      <c r="E5" s="4" t="inlineStr">
        <is>
          <t>Executive interview; existing strategy papers</t>
        </is>
      </c>
      <c r="F5" s="4" t="inlineStr">
        <is>
          <t>SRO / service owner</t>
        </is>
      </c>
      <c r="G5" s="4" t="inlineStr">
        <is>
          <t>Must</t>
        </is>
      </c>
      <c r="H5" s="4" t="inlineStr">
        <is>
          <t>W1</t>
        </is>
      </c>
      <c r="I5" s="4" t="inlineStr"/>
      <c r="J5" s="5" t="inlineStr"/>
      <c r="K5" s="5" t="inlineStr"/>
      <c r="L5" s="5" t="inlineStr">
        <is>
          <t>Open</t>
        </is>
      </c>
      <c r="M5" s="5" t="inlineStr"/>
    </row>
    <row r="6">
      <c r="A6" s="4" t="inlineStr">
        <is>
          <t>A02</t>
        </is>
      </c>
      <c r="B6" s="4" t="inlineStr">
        <is>
          <t>Objectives and scope</t>
        </is>
      </c>
      <c r="C6" s="4" t="inlineStr">
        <is>
          <t>Which of the four Microsoft objectives apply: access to organisation apps and email; secure access on all devices; distribute IT; keep organisation data inside the organisation?</t>
        </is>
      </c>
      <c r="D6" s="4" t="inlineStr">
        <is>
          <t>3, 4 Requirements</t>
        </is>
      </c>
      <c r="E6" s="4" t="inlineStr">
        <is>
          <t>Workshop against Microsoft planning guide Step 1</t>
        </is>
      </c>
      <c r="F6" s="4" t="inlineStr">
        <is>
          <t>Service owner</t>
        </is>
      </c>
      <c r="G6" s="4" t="inlineStr">
        <is>
          <t>Must</t>
        </is>
      </c>
      <c r="H6" s="4" t="inlineStr">
        <is>
          <t>W1</t>
        </is>
      </c>
      <c r="I6" s="4" t="inlineStr"/>
      <c r="J6" s="5" t="inlineStr"/>
      <c r="K6" s="5" t="inlineStr"/>
      <c r="L6" s="5" t="inlineStr">
        <is>
          <t>Open</t>
        </is>
      </c>
      <c r="M6" s="5" t="inlineStr"/>
    </row>
    <row r="7">
      <c r="A7" s="4" t="inlineStr">
        <is>
          <t>A03</t>
        </is>
      </c>
      <c r="B7" s="4" t="inlineStr">
        <is>
          <t>Objectives and scope</t>
        </is>
      </c>
      <c r="C7" s="4" t="inlineStr">
        <is>
          <t>Target operating model: cloud-native, co-managed, or hybrid with retained on-premises dependencies?</t>
        </is>
      </c>
      <c r="D7" s="4" t="inlineStr">
        <is>
          <t>6, 16 ADR-002</t>
        </is>
      </c>
      <c r="E7" s="4" t="inlineStr">
        <is>
          <t>Workshop; confirm against current estate findings</t>
        </is>
      </c>
      <c r="F7" s="4" t="inlineStr">
        <is>
          <t>Enterprise architect</t>
        </is>
      </c>
      <c r="G7" s="4" t="inlineStr">
        <is>
          <t>Must</t>
        </is>
      </c>
      <c r="H7" s="4" t="inlineStr">
        <is>
          <t>W1</t>
        </is>
      </c>
      <c r="I7" s="4" t="inlineStr"/>
      <c r="J7" s="5" t="inlineStr"/>
      <c r="K7" s="5" t="inlineStr"/>
      <c r="L7" s="5" t="inlineStr">
        <is>
          <t>Open</t>
        </is>
      </c>
      <c r="M7" s="5" t="inlineStr"/>
    </row>
    <row r="8">
      <c r="A8" s="4" t="inlineStr">
        <is>
          <t>A04</t>
        </is>
      </c>
      <c r="B8" s="4" t="inlineStr">
        <is>
          <t>Objectives and scope</t>
        </is>
      </c>
      <c r="C8" s="4" t="inlineStr">
        <is>
          <t>Which agencies, departments or arm's-length bodies are in scope, and who owns each?</t>
        </is>
      </c>
      <c r="D8" s="4" t="inlineStr">
        <is>
          <t>3 Scope</t>
        </is>
      </c>
      <c r="E8" s="4" t="inlineStr">
        <is>
          <t>Org chart; service catalogue</t>
        </is>
      </c>
      <c r="F8" s="4" t="inlineStr">
        <is>
          <t>Service owner</t>
        </is>
      </c>
      <c r="G8" s="4" t="inlineStr">
        <is>
          <t>Must</t>
        </is>
      </c>
      <c r="H8" s="4" t="inlineStr">
        <is>
          <t>W1</t>
        </is>
      </c>
      <c r="I8" s="4" t="inlineStr"/>
      <c r="J8" s="5" t="inlineStr"/>
      <c r="K8" s="5" t="inlineStr"/>
      <c r="L8" s="5" t="inlineStr">
        <is>
          <t>Open</t>
        </is>
      </c>
      <c r="M8" s="5" t="inlineStr"/>
    </row>
    <row r="9">
      <c r="A9" s="4" t="inlineStr">
        <is>
          <t>A05</t>
        </is>
      </c>
      <c r="B9" s="4" t="inlineStr">
        <is>
          <t>Objectives and scope</t>
        </is>
      </c>
      <c r="C9" s="4" t="inlineStr">
        <is>
          <t>Is there an approved mandate and funding line, and for which financial years?</t>
        </is>
      </c>
      <c r="D9" s="4" t="inlineStr">
        <is>
          <t>18, 19</t>
        </is>
      </c>
      <c r="E9" s="4" t="inlineStr">
        <is>
          <t>Business case; finance</t>
        </is>
      </c>
      <c r="F9" s="4" t="inlineStr">
        <is>
          <t>Finance business partner</t>
        </is>
      </c>
      <c r="G9" s="4" t="inlineStr">
        <is>
          <t>Must</t>
        </is>
      </c>
      <c r="H9" s="4" t="inlineStr">
        <is>
          <t>W1</t>
        </is>
      </c>
      <c r="I9" s="4" t="inlineStr"/>
      <c r="J9" s="5" t="inlineStr"/>
      <c r="K9" s="5" t="inlineStr"/>
      <c r="L9" s="5" t="inlineStr">
        <is>
          <t>Open</t>
        </is>
      </c>
      <c r="M9" s="5" t="inlineStr"/>
    </row>
    <row r="10">
      <c r="A10" s="4" t="inlineStr">
        <is>
          <t>A06</t>
        </is>
      </c>
      <c r="B10" s="4" t="inlineStr">
        <is>
          <t>Objectives and scope</t>
        </is>
      </c>
      <c r="C10" s="4" t="inlineStr">
        <is>
          <t>What is explicitly out of scope: classified or air-gapped estates, OT, servers, specialist devices?</t>
        </is>
      </c>
      <c r="D10" s="4" t="inlineStr">
        <is>
          <t>3 Scope</t>
        </is>
      </c>
      <c r="E10" s="4" t="inlineStr">
        <is>
          <t>Workshop; confirm with security</t>
        </is>
      </c>
      <c r="F10" s="4" t="inlineStr">
        <is>
          <t>Security architect</t>
        </is>
      </c>
      <c r="G10" s="4" t="inlineStr">
        <is>
          <t>Must</t>
        </is>
      </c>
      <c r="H10" s="4" t="inlineStr">
        <is>
          <t>W1</t>
        </is>
      </c>
      <c r="I10" s="4" t="inlineStr"/>
      <c r="J10" s="5" t="inlineStr"/>
      <c r="K10" s="5" t="inlineStr"/>
      <c r="L10" s="5" t="inlineStr">
        <is>
          <t>Open</t>
        </is>
      </c>
      <c r="M10" s="5" t="inlineStr"/>
    </row>
    <row r="11">
      <c r="A11" s="4" t="inlineStr">
        <is>
          <t>A07</t>
        </is>
      </c>
      <c r="B11" s="4" t="inlineStr">
        <is>
          <t>Objectives and scope</t>
        </is>
      </c>
      <c r="C11" s="4" t="inlineStr">
        <is>
          <t>What are the immovable dates: OS end of support, licence or contract renewal, accreditation deadlines, machinery-of-government changes?</t>
        </is>
      </c>
      <c r="D11" s="4" t="inlineStr">
        <is>
          <t>19 Roadmap</t>
        </is>
      </c>
      <c r="E11" s="4" t="inlineStr">
        <is>
          <t>Contract register; vendor lifecycle pages</t>
        </is>
      </c>
      <c r="F11" s="4" t="inlineStr">
        <is>
          <t>Commercial lead</t>
        </is>
      </c>
      <c r="G11" s="4" t="inlineStr">
        <is>
          <t>Must</t>
        </is>
      </c>
      <c r="H11" s="4" t="inlineStr">
        <is>
          <t>W1</t>
        </is>
      </c>
      <c r="I11" s="4" t="inlineStr"/>
      <c r="J11" s="5" t="inlineStr"/>
      <c r="K11" s="5" t="inlineStr"/>
      <c r="L11" s="5" t="inlineStr">
        <is>
          <t>Open</t>
        </is>
      </c>
      <c r="M11" s="5" t="inlineStr"/>
    </row>
    <row r="12">
      <c r="A12" s="4" t="inlineStr">
        <is>
          <t>A08</t>
        </is>
      </c>
      <c r="B12" s="4" t="inlineStr">
        <is>
          <t>Objectives and scope</t>
        </is>
      </c>
      <c r="C12" s="4" t="inlineStr">
        <is>
          <t>What does success look like as SMART measures per rollout phase?</t>
        </is>
      </c>
      <c r="D12" s="4" t="inlineStr">
        <is>
          <t>4, 13 SLIs and SLOs</t>
        </is>
      </c>
      <c r="E12" s="4" t="inlineStr">
        <is>
          <t>Workshop; Microsoft planning guide Step 5</t>
        </is>
      </c>
      <c r="F12" s="4" t="inlineStr">
        <is>
          <t>Service owner</t>
        </is>
      </c>
      <c r="G12" s="4" t="inlineStr">
        <is>
          <t>Must</t>
        </is>
      </c>
      <c r="H12" s="4" t="inlineStr">
        <is>
          <t>W1</t>
        </is>
      </c>
      <c r="I12" s="4" t="inlineStr"/>
      <c r="J12" s="5" t="inlineStr"/>
      <c r="K12" s="5" t="inlineStr"/>
      <c r="L12" s="5" t="inlineStr">
        <is>
          <t>Open</t>
        </is>
      </c>
      <c r="M12" s="5" t="inlineStr"/>
    </row>
    <row r="13">
      <c r="A13" s="4" t="inlineStr">
        <is>
          <t>A09</t>
        </is>
      </c>
      <c r="B13" s="4" t="inlineStr">
        <is>
          <t>Objectives and scope</t>
        </is>
      </c>
      <c r="C13" s="4" t="inlineStr">
        <is>
          <t>What has been attempted before, and why did it stall?</t>
        </is>
      </c>
      <c r="D13" s="4" t="inlineStr">
        <is>
          <t>3, 17 Risks</t>
        </is>
      </c>
      <c r="E13" s="4" t="inlineStr">
        <is>
          <t>Interview; project archive</t>
        </is>
      </c>
      <c r="F13" s="4" t="inlineStr">
        <is>
          <t>IT leadership</t>
        </is>
      </c>
      <c r="G13" s="4" t="inlineStr">
        <is>
          <t>Should</t>
        </is>
      </c>
      <c r="H13" s="4" t="inlineStr">
        <is>
          <t>W1</t>
        </is>
      </c>
      <c r="I13" s="4" t="inlineStr"/>
      <c r="J13" s="5" t="inlineStr"/>
      <c r="K13" s="5" t="inlineStr"/>
      <c r="L13" s="5" t="inlineStr">
        <is>
          <t>Open</t>
        </is>
      </c>
      <c r="M13" s="5" t="inlineStr"/>
    </row>
    <row r="14">
      <c r="A14" s="4" t="inlineStr">
        <is>
          <t>A10</t>
        </is>
      </c>
      <c r="B14" s="4" t="inlineStr">
        <is>
          <t>Objectives and scope</t>
        </is>
      </c>
      <c r="C14" s="4" t="inlineStr">
        <is>
          <t>Who approves the design: enterprise architect, security authoriser, DPO, CAB, SIRO or Authorising Official?</t>
        </is>
      </c>
      <c r="D14" s="4" t="inlineStr">
        <is>
          <t>1 Document control</t>
        </is>
      </c>
      <c r="E14" s="4" t="inlineStr">
        <is>
          <t>Governance map</t>
        </is>
      </c>
      <c r="F14" s="4" t="inlineStr">
        <is>
          <t>Service owner</t>
        </is>
      </c>
      <c r="G14" s="4" t="inlineStr">
        <is>
          <t>Must</t>
        </is>
      </c>
      <c r="H14" s="4" t="inlineStr">
        <is>
          <t>W1</t>
        </is>
      </c>
      <c r="I14" s="4" t="inlineStr"/>
      <c r="J14" s="5" t="inlineStr"/>
      <c r="K14" s="5" t="inlineStr"/>
      <c r="L14" s="5" t="inlineStr">
        <is>
          <t>Open</t>
        </is>
      </c>
      <c r="M14" s="5" t="inlineStr"/>
    </row>
    <row r="15">
      <c r="A15" s="4" t="inlineStr">
        <is>
          <t>A11</t>
        </is>
      </c>
      <c r="B15" s="4" t="inlineStr">
        <is>
          <t>Objectives and scope</t>
        </is>
      </c>
      <c r="C15" s="4" t="inlineStr">
        <is>
          <t>What appetite is there for disruption to users - can devices be reset and rebuilt, or must changes be in-place?</t>
        </is>
      </c>
      <c r="D15" s="4" t="inlineStr">
        <is>
          <t>19 Transition</t>
        </is>
      </c>
      <c r="E15" s="4" t="inlineStr">
        <is>
          <t>Workshop</t>
        </is>
      </c>
      <c r="F15" s="4" t="inlineStr">
        <is>
          <t>Service owner</t>
        </is>
      </c>
      <c r="G15" s="4" t="inlineStr">
        <is>
          <t>Must</t>
        </is>
      </c>
      <c r="H15" s="4" t="inlineStr">
        <is>
          <t>W1</t>
        </is>
      </c>
      <c r="I15" s="4" t="inlineStr"/>
      <c r="J15" s="5" t="inlineStr"/>
      <c r="K15" s="5" t="inlineStr"/>
      <c r="L15" s="5" t="inlineStr">
        <is>
          <t>Open</t>
        </is>
      </c>
      <c r="M15" s="5" t="inlineStr"/>
    </row>
    <row r="16">
      <c r="A16" s="4" t="inlineStr">
        <is>
          <t>A12</t>
        </is>
      </c>
      <c r="B16" s="4" t="inlineStr">
        <is>
          <t>Objectives and scope</t>
        </is>
      </c>
      <c r="C16" s="4" t="inlineStr">
        <is>
          <t>Is a tenant consolidation, split or machinery-of-government change expected in the design's life?</t>
        </is>
      </c>
      <c r="D16" s="4" t="inlineStr">
        <is>
          <t>3, 17</t>
        </is>
      </c>
      <c r="E16" s="4" t="inlineStr">
        <is>
          <t>IT leadership; programme office</t>
        </is>
      </c>
      <c r="F16" s="4" t="inlineStr">
        <is>
          <t>Enterprise architect</t>
        </is>
      </c>
      <c r="G16" s="4" t="inlineStr">
        <is>
          <t>Should</t>
        </is>
      </c>
      <c r="H16" s="4" t="inlineStr">
        <is>
          <t>W1</t>
        </is>
      </c>
      <c r="I16" s="4" t="inlineStr"/>
      <c r="J16" s="5" t="inlineStr"/>
      <c r="K16" s="5" t="inlineStr"/>
      <c r="L16" s="5" t="inlineStr">
        <is>
          <t>Open</t>
        </is>
      </c>
      <c r="M16" s="5" t="inlineStr"/>
    </row>
    <row r="17">
      <c r="A17" s="4" t="inlineStr">
        <is>
          <t>B01</t>
        </is>
      </c>
      <c r="B17" s="4" t="inlineStr">
        <is>
          <t>Organisation</t>
        </is>
      </c>
      <c r="C17" s="4" t="inlineStr">
        <is>
          <t>Endpoint team size, roles, skills and security clearances held</t>
        </is>
      </c>
      <c r="D17" s="4" t="inlineStr">
        <is>
          <t>13 Operations</t>
        </is>
      </c>
      <c r="E17" s="4" t="inlineStr">
        <is>
          <t>Interview; HR establishment data</t>
        </is>
      </c>
      <c r="F17" s="4" t="inlineStr">
        <is>
          <t>Endpoint team lead</t>
        </is>
      </c>
      <c r="G17" s="4" t="inlineStr">
        <is>
          <t>Must</t>
        </is>
      </c>
      <c r="H17" s="4" t="inlineStr">
        <is>
          <t>W8</t>
        </is>
      </c>
      <c r="I17" s="4" t="inlineStr"/>
      <c r="J17" s="5" t="inlineStr"/>
      <c r="K17" s="5" t="inlineStr"/>
      <c r="L17" s="5" t="inlineStr">
        <is>
          <t>Open</t>
        </is>
      </c>
      <c r="M17" s="5" t="inlineStr"/>
    </row>
    <row r="18">
      <c r="A18" s="4" t="inlineStr">
        <is>
          <t>B02</t>
        </is>
      </c>
      <c r="B18" s="4" t="inlineStr">
        <is>
          <t>Organisation</t>
        </is>
      </c>
      <c r="C18" s="4" t="inlineStr">
        <is>
          <t>Which functions are outsourced, to whom, under what contract, with what notice and exit terms?</t>
        </is>
      </c>
      <c r="D18" s="4" t="inlineStr">
        <is>
          <t>14, 17 Supplier management</t>
        </is>
      </c>
      <c r="E18" s="4" t="inlineStr">
        <is>
          <t>Contract register</t>
        </is>
      </c>
      <c r="F18" s="4" t="inlineStr">
        <is>
          <t>Commercial lead</t>
        </is>
      </c>
      <c r="G18" s="4" t="inlineStr">
        <is>
          <t>Must</t>
        </is>
      </c>
      <c r="H18" s="4" t="inlineStr">
        <is>
          <t>W8</t>
        </is>
      </c>
      <c r="I18" s="4" t="inlineStr"/>
      <c r="J18" s="5" t="inlineStr"/>
      <c r="K18" s="5" t="inlineStr"/>
      <c r="L18" s="5" t="inlineStr">
        <is>
          <t>Open</t>
        </is>
      </c>
      <c r="M18" s="5" t="inlineStr"/>
    </row>
    <row r="19">
      <c r="A19" s="4" t="inlineStr">
        <is>
          <t>B03</t>
        </is>
      </c>
      <c r="B19" s="4" t="inlineStr">
        <is>
          <t>Organisation</t>
        </is>
      </c>
      <c r="C19" s="4" t="inlineStr">
        <is>
          <t>Support model: L1/L2/L3 split, hours of service, agency-local IT responsibilities</t>
        </is>
      </c>
      <c r="D19" s="4" t="inlineStr">
        <is>
          <t>13 Operations</t>
        </is>
      </c>
      <c r="E19" s="4" t="inlineStr">
        <is>
          <t>Interview; existing OLAs</t>
        </is>
      </c>
      <c r="F19" s="4" t="inlineStr">
        <is>
          <t>Service desk manager</t>
        </is>
      </c>
      <c r="G19" s="4" t="inlineStr">
        <is>
          <t>Must</t>
        </is>
      </c>
      <c r="H19" s="4" t="inlineStr">
        <is>
          <t>W8</t>
        </is>
      </c>
      <c r="I19" s="4" t="inlineStr"/>
      <c r="J19" s="5" t="inlineStr"/>
      <c r="K19" s="5" t="inlineStr"/>
      <c r="L19" s="5" t="inlineStr">
        <is>
          <t>Open</t>
        </is>
      </c>
      <c r="M19" s="5" t="inlineStr"/>
    </row>
    <row r="20">
      <c r="A20" s="6" t="inlineStr">
        <is>
          <t>B04</t>
        </is>
      </c>
      <c r="B20" s="6" t="inlineStr">
        <is>
          <t>Organisation</t>
        </is>
      </c>
      <c r="C20" s="6" t="inlineStr">
        <is>
          <t>ITSM toolset and the integration expected with endpoint management</t>
        </is>
      </c>
      <c r="D20" s="6" t="inlineStr">
        <is>
          <t>8, 14</t>
        </is>
      </c>
      <c r="E20" s="6" t="inlineStr">
        <is>
          <t>Interview; tool admin</t>
        </is>
      </c>
      <c r="F20" s="6" t="inlineStr">
        <is>
          <t>ITSM owner</t>
        </is>
      </c>
      <c r="G20" s="6" t="inlineStr">
        <is>
          <t>Must</t>
        </is>
      </c>
      <c r="H20" s="6" t="inlineStr">
        <is>
          <t>W8</t>
        </is>
      </c>
      <c r="I20" s="6" t="inlineStr">
        <is>
          <t>GOV GAP: the ServiceNow connector is not available in GCC High or DoD - plan an alternative integration</t>
        </is>
      </c>
      <c r="J20" s="6" t="inlineStr"/>
      <c r="K20" s="6" t="inlineStr"/>
      <c r="L20" s="6" t="inlineStr">
        <is>
          <t>Open</t>
        </is>
      </c>
      <c r="M20" s="6" t="inlineStr"/>
    </row>
    <row r="21">
      <c r="A21" s="4" t="inlineStr">
        <is>
          <t>B05</t>
        </is>
      </c>
      <c r="B21" s="4" t="inlineStr">
        <is>
          <t>Organisation</t>
        </is>
      </c>
      <c r="C21" s="4" t="inlineStr">
        <is>
          <t>Change process, CAB cadence, and which endpoint changes could become pre-approved standard changes</t>
        </is>
      </c>
      <c r="D21" s="4" t="inlineStr">
        <is>
          <t>14 Change enablement</t>
        </is>
      </c>
      <c r="E21" s="4" t="inlineStr">
        <is>
          <t>Change policy document</t>
        </is>
      </c>
      <c r="F21" s="4" t="inlineStr">
        <is>
          <t>Change manager</t>
        </is>
      </c>
      <c r="G21" s="4" t="inlineStr">
        <is>
          <t>Should</t>
        </is>
      </c>
      <c r="H21" s="4" t="inlineStr">
        <is>
          <t>W8</t>
        </is>
      </c>
      <c r="I21" s="4" t="inlineStr"/>
      <c r="J21" s="5" t="inlineStr"/>
      <c r="K21" s="5" t="inlineStr"/>
      <c r="L21" s="5" t="inlineStr">
        <is>
          <t>Open</t>
        </is>
      </c>
      <c r="M21" s="5" t="inlineStr"/>
    </row>
    <row r="22">
      <c r="A22" s="4" t="inlineStr">
        <is>
          <t>B06</t>
        </is>
      </c>
      <c r="B22" s="4" t="inlineStr">
        <is>
          <t>Organisation</t>
        </is>
      </c>
      <c r="C22" s="4" t="inlineStr">
        <is>
          <t>CMDB: which system holds device records, what fields, and how is it populated?</t>
        </is>
      </c>
      <c r="D22" s="4" t="inlineStr">
        <is>
          <t>14 Service configuration management</t>
        </is>
      </c>
      <c r="E22" s="4" t="inlineStr">
        <is>
          <t>CMDB export</t>
        </is>
      </c>
      <c r="F22" s="4" t="inlineStr">
        <is>
          <t>CMDB owner</t>
        </is>
      </c>
      <c r="G22" s="4" t="inlineStr">
        <is>
          <t>Must</t>
        </is>
      </c>
      <c r="H22" s="4" t="inlineStr">
        <is>
          <t>W8</t>
        </is>
      </c>
      <c r="I22" s="4" t="inlineStr"/>
      <c r="J22" s="5" t="inlineStr"/>
      <c r="K22" s="5" t="inlineStr"/>
      <c r="L22" s="5" t="inlineStr">
        <is>
          <t>Open</t>
        </is>
      </c>
      <c r="M22" s="5" t="inlineStr"/>
    </row>
    <row r="23">
      <c r="A23" s="4" t="inlineStr">
        <is>
          <t>B07</t>
        </is>
      </c>
      <c r="B23" s="4" t="inlineStr">
        <is>
          <t>Organisation</t>
        </is>
      </c>
      <c r="C23" s="4" t="inlineStr">
        <is>
          <t>Where do runbooks and known errors live today?</t>
        </is>
      </c>
      <c r="D23" s="4" t="inlineStr">
        <is>
          <t>13 Knowledge management</t>
        </is>
      </c>
      <c r="E23" s="4" t="inlineStr">
        <is>
          <t>Knowledge base review</t>
        </is>
      </c>
      <c r="F23" s="4" t="inlineStr">
        <is>
          <t>Service desk manager</t>
        </is>
      </c>
      <c r="G23" s="4" t="inlineStr">
        <is>
          <t>Should</t>
        </is>
      </c>
      <c r="H23" s="4" t="inlineStr">
        <is>
          <t>W8</t>
        </is>
      </c>
      <c r="I23" s="4" t="inlineStr"/>
      <c r="J23" s="5" t="inlineStr"/>
      <c r="K23" s="5" t="inlineStr"/>
      <c r="L23" s="5" t="inlineStr">
        <is>
          <t>Open</t>
        </is>
      </c>
      <c r="M23" s="5" t="inlineStr"/>
    </row>
    <row r="24">
      <c r="A24" s="4" t="inlineStr">
        <is>
          <t>B08</t>
        </is>
      </c>
      <c r="B24" s="4" t="inlineStr">
        <is>
          <t>Organisation</t>
        </is>
      </c>
      <c r="C24" s="4" t="inlineStr">
        <is>
          <t>Who holds Global Administrator, Intune Administrator and equivalent roles today?</t>
        </is>
      </c>
      <c r="D24" s="4" t="inlineStr">
        <is>
          <t>10 Identity and access</t>
        </is>
      </c>
      <c r="E24" s="4" t="inlineStr">
        <is>
          <t>Entra role assignment export</t>
        </is>
      </c>
      <c r="F24" s="4" t="inlineStr">
        <is>
          <t>Identity lead</t>
        </is>
      </c>
      <c r="G24" s="4" t="inlineStr">
        <is>
          <t>Must</t>
        </is>
      </c>
      <c r="H24" s="4" t="inlineStr">
        <is>
          <t>W3</t>
        </is>
      </c>
      <c r="I24" s="4" t="inlineStr"/>
      <c r="J24" s="5" t="inlineStr"/>
      <c r="K24" s="5" t="inlineStr"/>
      <c r="L24" s="5" t="inlineStr">
        <is>
          <t>Open</t>
        </is>
      </c>
      <c r="M24" s="5" t="inlineStr"/>
    </row>
    <row r="25">
      <c r="A25" s="4" t="inlineStr">
        <is>
          <t>B09</t>
        </is>
      </c>
      <c r="B25" s="4" t="inlineStr">
        <is>
          <t>Organisation</t>
        </is>
      </c>
      <c r="C25" s="4" t="inlineStr">
        <is>
          <t>Training and certification levels of the team, and the gap to cloud-native operations</t>
        </is>
      </c>
      <c r="D25" s="4" t="inlineStr">
        <is>
          <t>19 Operational readiness</t>
        </is>
      </c>
      <c r="E25" s="4" t="inlineStr">
        <is>
          <t>Skills matrix</t>
        </is>
      </c>
      <c r="F25" s="4" t="inlineStr">
        <is>
          <t>Endpoint team lead</t>
        </is>
      </c>
      <c r="G25" s="4" t="inlineStr">
        <is>
          <t>Should</t>
        </is>
      </c>
      <c r="H25" s="4" t="inlineStr">
        <is>
          <t>W8</t>
        </is>
      </c>
      <c r="I25" s="4" t="inlineStr"/>
      <c r="J25" s="5" t="inlineStr"/>
      <c r="K25" s="5" t="inlineStr"/>
      <c r="L25" s="5" t="inlineStr">
        <is>
          <t>Open</t>
        </is>
      </c>
      <c r="M25" s="5" t="inlineStr"/>
    </row>
    <row r="26">
      <c r="A26" s="4" t="inlineStr">
        <is>
          <t>B10</t>
        </is>
      </c>
      <c r="B26" s="4" t="inlineStr">
        <is>
          <t>Organisation</t>
        </is>
      </c>
      <c r="C26" s="4" t="inlineStr">
        <is>
          <t>RACI for the device lifecycle: procure, provision, support, patch, retire, dispose</t>
        </is>
      </c>
      <c r="D26" s="4" t="inlineStr">
        <is>
          <t>13, 19</t>
        </is>
      </c>
      <c r="E26" s="4" t="inlineStr">
        <is>
          <t>Workshop</t>
        </is>
      </c>
      <c r="F26" s="4" t="inlineStr">
        <is>
          <t>Service owner</t>
        </is>
      </c>
      <c r="G26" s="4" t="inlineStr">
        <is>
          <t>Must</t>
        </is>
      </c>
      <c r="H26" s="4" t="inlineStr">
        <is>
          <t>W8</t>
        </is>
      </c>
      <c r="I26" s="4" t="inlineStr"/>
      <c r="J26" s="5" t="inlineStr"/>
      <c r="K26" s="5" t="inlineStr"/>
      <c r="L26" s="5" t="inlineStr">
        <is>
          <t>Open</t>
        </is>
      </c>
      <c r="M26" s="5" t="inlineStr"/>
    </row>
    <row r="27">
      <c r="A27" s="4" t="inlineStr">
        <is>
          <t>C01</t>
        </is>
      </c>
      <c r="B27" s="4" t="inlineStr">
        <is>
          <t>Device estate</t>
        </is>
      </c>
      <c r="C27" s="4" t="inlineStr">
        <is>
          <t>Total device count by platform, OS version and build</t>
        </is>
      </c>
      <c r="D27" s="4" t="inlineStr">
        <is>
          <t>3, 7, 11</t>
        </is>
      </c>
      <c r="E27" s="4" t="inlineStr">
        <is>
          <t>Entra device export; Endpoint analytics; ConfigMgr; Defender device inventory</t>
        </is>
      </c>
      <c r="F27" s="4" t="inlineStr">
        <is>
          <t>Endpoint team</t>
        </is>
      </c>
      <c r="G27" s="4" t="inlineStr">
        <is>
          <t>Must</t>
        </is>
      </c>
      <c r="H27" s="4" t="inlineStr">
        <is>
          <t>W2</t>
        </is>
      </c>
      <c r="I27" s="4" t="inlineStr"/>
      <c r="J27" s="5" t="inlineStr"/>
      <c r="K27" s="5" t="inlineStr"/>
      <c r="L27" s="5" t="inlineStr">
        <is>
          <t>Open</t>
        </is>
      </c>
      <c r="M27" s="5" t="inlineStr"/>
    </row>
    <row r="28">
      <c r="A28" s="4" t="inlineStr">
        <is>
          <t>C02</t>
        </is>
      </c>
      <c r="B28" s="4" t="inlineStr">
        <is>
          <t>Device estate</t>
        </is>
      </c>
      <c r="C28" s="4" t="inlineStr">
        <is>
          <t>Devices on an unsupported OS version that must be upgraded or replaced</t>
        </is>
      </c>
      <c r="D28" s="4" t="inlineStr">
        <is>
          <t>7, 19</t>
        </is>
      </c>
      <c r="E28" s="4" t="inlineStr">
        <is>
          <t>Compare inventory to Intune supported platforms list</t>
        </is>
      </c>
      <c r="F28" s="4" t="inlineStr">
        <is>
          <t>Endpoint team</t>
        </is>
      </c>
      <c r="G28" s="4" t="inlineStr">
        <is>
          <t>Must</t>
        </is>
      </c>
      <c r="H28" s="4" t="inlineStr">
        <is>
          <t>W2</t>
        </is>
      </c>
      <c r="I28" s="4" t="inlineStr"/>
      <c r="J28" s="5" t="inlineStr"/>
      <c r="K28" s="5" t="inlineStr"/>
      <c r="L28" s="5" t="inlineStr">
        <is>
          <t>Open</t>
        </is>
      </c>
      <c r="M28" s="5" t="inlineStr"/>
    </row>
    <row r="29">
      <c r="A29" s="4" t="inlineStr">
        <is>
          <t>C03</t>
        </is>
      </c>
      <c r="B29" s="4" t="inlineStr">
        <is>
          <t>Device estate</t>
        </is>
      </c>
      <c r="C29" s="4" t="inlineStr">
        <is>
          <t>Windows 11 hardware readiness: capable versus not capable, and the top blocking requirement</t>
        </is>
      </c>
      <c r="D29" s="4" t="inlineStr">
        <is>
          <t>19 Roadmap</t>
        </is>
      </c>
      <c r="E29" s="4" t="inlineStr">
        <is>
          <t>Endpoint analytics Work from anywhere report (device must have sent an event in the last 29 days)</t>
        </is>
      </c>
      <c r="F29" s="4" t="inlineStr">
        <is>
          <t>Endpoint team</t>
        </is>
      </c>
      <c r="G29" s="4" t="inlineStr">
        <is>
          <t>Must</t>
        </is>
      </c>
      <c r="H29" s="4" t="inlineStr">
        <is>
          <t>W2</t>
        </is>
      </c>
      <c r="I29" s="4" t="inlineStr"/>
      <c r="J29" s="5" t="inlineStr"/>
      <c r="K29" s="5" t="inlineStr"/>
      <c r="L29" s="5" t="inlineStr">
        <is>
          <t>Open</t>
        </is>
      </c>
      <c r="M29" s="5" t="inlineStr"/>
    </row>
    <row r="30">
      <c r="A30" s="4" t="inlineStr">
        <is>
          <t>C04</t>
        </is>
      </c>
      <c r="B30" s="4" t="inlineStr">
        <is>
          <t>Device estate</t>
        </is>
      </c>
      <c r="C30" s="4" t="inlineStr">
        <is>
          <t>Device age, refresh cycle and warranty expiry by cohort</t>
        </is>
      </c>
      <c r="D30" s="4" t="inlineStr">
        <is>
          <t>18, 19</t>
        </is>
      </c>
      <c r="E30" s="4" t="inlineStr">
        <is>
          <t>Asset register; procurement records</t>
        </is>
      </c>
      <c r="F30" s="4" t="inlineStr">
        <is>
          <t>Asset manager</t>
        </is>
      </c>
      <c r="G30" s="4" t="inlineStr">
        <is>
          <t>Must</t>
        </is>
      </c>
      <c r="H30" s="4" t="inlineStr">
        <is>
          <t>W2</t>
        </is>
      </c>
      <c r="I30" s="4" t="inlineStr"/>
      <c r="J30" s="5" t="inlineStr"/>
      <c r="K30" s="5" t="inlineStr"/>
      <c r="L30" s="5" t="inlineStr">
        <is>
          <t>Open</t>
        </is>
      </c>
      <c r="M30" s="5" t="inlineStr"/>
    </row>
    <row r="31">
      <c r="A31" s="4" t="inlineStr">
        <is>
          <t>C05</t>
        </is>
      </c>
      <c r="B31" s="4" t="inlineStr">
        <is>
          <t>Device estate</t>
        </is>
      </c>
      <c r="C31" s="4" t="inlineStr">
        <is>
          <t>Join state split: Entra joined, Entra hybrid joined, Entra registered, workgroup</t>
        </is>
      </c>
      <c r="D31" s="4" t="inlineStr">
        <is>
          <t>7, 16 ADR-002</t>
        </is>
      </c>
      <c r="E31" s="4" t="inlineStr">
        <is>
          <t>Entra devices export; ConfigMgr report</t>
        </is>
      </c>
      <c r="F31" s="4" t="inlineStr">
        <is>
          <t>Identity lead</t>
        </is>
      </c>
      <c r="G31" s="4" t="inlineStr">
        <is>
          <t>Must</t>
        </is>
      </c>
      <c r="H31" s="4" t="inlineStr">
        <is>
          <t>W2</t>
        </is>
      </c>
      <c r="I31" s="4" t="inlineStr"/>
      <c r="J31" s="5" t="inlineStr"/>
      <c r="K31" s="5" t="inlineStr"/>
      <c r="L31" s="5" t="inlineStr">
        <is>
          <t>Open</t>
        </is>
      </c>
      <c r="M31" s="5" t="inlineStr"/>
    </row>
    <row r="32">
      <c r="A32" s="4" t="inlineStr">
        <is>
          <t>C06</t>
        </is>
      </c>
      <c r="B32" s="4" t="inlineStr">
        <is>
          <t>Device estate</t>
        </is>
      </c>
      <c r="C32" s="4" t="inlineStr">
        <is>
          <t>Current enrolment or management method for each platform</t>
        </is>
      </c>
      <c r="D32" s="4" t="inlineStr">
        <is>
          <t>7 Logical components</t>
        </is>
      </c>
      <c r="E32" s="4" t="inlineStr">
        <is>
          <t>MDM console exports</t>
        </is>
      </c>
      <c r="F32" s="4" t="inlineStr">
        <is>
          <t>Endpoint team</t>
        </is>
      </c>
      <c r="G32" s="4" t="inlineStr">
        <is>
          <t>Must</t>
        </is>
      </c>
      <c r="H32" s="4" t="inlineStr">
        <is>
          <t>W2</t>
        </is>
      </c>
      <c r="I32" s="4" t="inlineStr"/>
      <c r="J32" s="5" t="inlineStr"/>
      <c r="K32" s="5" t="inlineStr"/>
      <c r="L32" s="5" t="inlineStr">
        <is>
          <t>Open</t>
        </is>
      </c>
      <c r="M32" s="5" t="inlineStr"/>
    </row>
    <row r="33">
      <c r="A33" s="4" t="inlineStr">
        <is>
          <t>C07</t>
        </is>
      </c>
      <c r="B33" s="4" t="inlineStr">
        <is>
          <t>Device estate</t>
        </is>
      </c>
      <c r="C33" s="4" t="inlineStr">
        <is>
          <t>Shared, kiosk and frontline devices: counts, locations and how they are used</t>
        </is>
      </c>
      <c r="D33" s="4" t="inlineStr">
        <is>
          <t>3, 7</t>
        </is>
      </c>
      <c r="E33" s="4" t="inlineStr">
        <is>
          <t>Site survey; workshop</t>
        </is>
      </c>
      <c r="F33" s="4" t="inlineStr">
        <is>
          <t>Agency IT leads</t>
        </is>
      </c>
      <c r="G33" s="4" t="inlineStr">
        <is>
          <t>Must</t>
        </is>
      </c>
      <c r="H33" s="4" t="inlineStr">
        <is>
          <t>W2</t>
        </is>
      </c>
      <c r="I33" s="4" t="inlineStr"/>
      <c r="J33" s="5" t="inlineStr"/>
      <c r="K33" s="5" t="inlineStr"/>
      <c r="L33" s="5" t="inlineStr">
        <is>
          <t>Open</t>
        </is>
      </c>
      <c r="M33" s="5" t="inlineStr"/>
    </row>
    <row r="34">
      <c r="A34" s="4" t="inlineStr">
        <is>
          <t>C08</t>
        </is>
      </c>
      <c r="B34" s="4" t="inlineStr">
        <is>
          <t>Device estate</t>
        </is>
      </c>
      <c r="C34" s="4" t="inlineStr">
        <is>
          <t>Personally owned devices accessing organisation data today, and by what route</t>
        </is>
      </c>
      <c r="D34" s="4" t="inlineStr">
        <is>
          <t>3, 9, 10 ADR-004</t>
        </is>
      </c>
      <c r="E34" s="4" t="inlineStr">
        <is>
          <t>Entra sign-in logs; MAM reporting</t>
        </is>
      </c>
      <c r="F34" s="4" t="inlineStr">
        <is>
          <t>Security architect</t>
        </is>
      </c>
      <c r="G34" s="4" t="inlineStr">
        <is>
          <t>Must</t>
        </is>
      </c>
      <c r="H34" s="4" t="inlineStr">
        <is>
          <t>W2</t>
        </is>
      </c>
      <c r="I34" s="4" t="inlineStr"/>
      <c r="J34" s="5" t="inlineStr"/>
      <c r="K34" s="5" t="inlineStr"/>
      <c r="L34" s="5" t="inlineStr">
        <is>
          <t>Open</t>
        </is>
      </c>
      <c r="M34" s="5" t="inlineStr"/>
    </row>
    <row r="35">
      <c r="A35" s="4" t="inlineStr">
        <is>
          <t>C09</t>
        </is>
      </c>
      <c r="B35" s="4" t="inlineStr">
        <is>
          <t>Device estate</t>
        </is>
      </c>
      <c r="C35" s="4" t="inlineStr">
        <is>
          <t>Specialist devices: rugged handhelds, scanners, AOSP, VR, signage - and their vendor support position</t>
        </is>
      </c>
      <c r="D35" s="4" t="inlineStr">
        <is>
          <t>3, 7</t>
        </is>
      </c>
      <c r="E35" s="4" t="inlineStr">
        <is>
          <t>Asset register; vendor confirmation</t>
        </is>
      </c>
      <c r="F35" s="4" t="inlineStr">
        <is>
          <t>Agency IT leads</t>
        </is>
      </c>
      <c r="G35" s="4" t="inlineStr">
        <is>
          <t>Should</t>
        </is>
      </c>
      <c r="H35" s="4" t="inlineStr">
        <is>
          <t>W2</t>
        </is>
      </c>
      <c r="I35" s="4" t="inlineStr"/>
      <c r="J35" s="5" t="inlineStr"/>
      <c r="K35" s="5" t="inlineStr"/>
      <c r="L35" s="5" t="inlineStr">
        <is>
          <t>Open</t>
        </is>
      </c>
      <c r="M35" s="5" t="inlineStr"/>
    </row>
    <row r="36">
      <c r="A36" s="4" t="inlineStr">
        <is>
          <t>C10</t>
        </is>
      </c>
      <c r="B36" s="4" t="inlineStr">
        <is>
          <t>Device estate</t>
        </is>
      </c>
      <c r="C36" s="4" t="inlineStr">
        <is>
          <t>macOS estate: count, OS versions, current management tool</t>
        </is>
      </c>
      <c r="D36" s="4" t="inlineStr">
        <is>
          <t>7</t>
        </is>
      </c>
      <c r="E36" s="4" t="inlineStr">
        <is>
          <t>Asset register; existing MDM</t>
        </is>
      </c>
      <c r="F36" s="4" t="inlineStr">
        <is>
          <t>Endpoint team</t>
        </is>
      </c>
      <c r="G36" s="4" t="inlineStr">
        <is>
          <t>Should</t>
        </is>
      </c>
      <c r="H36" s="4" t="inlineStr">
        <is>
          <t>W2</t>
        </is>
      </c>
      <c r="I36" s="4" t="inlineStr"/>
      <c r="J36" s="5" t="inlineStr"/>
      <c r="K36" s="5" t="inlineStr"/>
      <c r="L36" s="5" t="inlineStr">
        <is>
          <t>Open</t>
        </is>
      </c>
      <c r="M36" s="5" t="inlineStr"/>
    </row>
    <row r="37">
      <c r="A37" s="4" t="inlineStr">
        <is>
          <t>C11</t>
        </is>
      </c>
      <c r="B37" s="4" t="inlineStr">
        <is>
          <t>Device estate</t>
        </is>
      </c>
      <c r="C37" s="4" t="inlineStr">
        <is>
          <t>iOS/iPadOS and Android estate: counts, ownership model, and whether Apple Business Manager and Android Enterprise are already established</t>
        </is>
      </c>
      <c r="D37" s="4" t="inlineStr">
        <is>
          <t>7, 8</t>
        </is>
      </c>
      <c r="E37" s="4" t="inlineStr">
        <is>
          <t>MDM console; ABM/AE portals</t>
        </is>
      </c>
      <c r="F37" s="4" t="inlineStr">
        <is>
          <t>Endpoint team</t>
        </is>
      </c>
      <c r="G37" s="4" t="inlineStr">
        <is>
          <t>Must</t>
        </is>
      </c>
      <c r="H37" s="4" t="inlineStr">
        <is>
          <t>W2</t>
        </is>
      </c>
      <c r="I37" s="4" t="inlineStr"/>
      <c r="J37" s="5" t="inlineStr"/>
      <c r="K37" s="5" t="inlineStr"/>
      <c r="L37" s="5" t="inlineStr">
        <is>
          <t>Open</t>
        </is>
      </c>
      <c r="M37" s="5" t="inlineStr"/>
    </row>
    <row r="38">
      <c r="A38" s="4" t="inlineStr">
        <is>
          <t>C12</t>
        </is>
      </c>
      <c r="B38" s="4" t="inlineStr">
        <is>
          <t>Device estate</t>
        </is>
      </c>
      <c r="C38" s="4" t="inlineStr">
        <is>
          <t>Devices with no management agent at all - the shadow estate</t>
        </is>
      </c>
      <c r="D38" s="4" t="inlineStr">
        <is>
          <t>3, 17 Risks</t>
        </is>
      </c>
      <c r="E38" s="4" t="inlineStr">
        <is>
          <t>Compare AD/Entra objects to MDM inventory; network access logs</t>
        </is>
      </c>
      <c r="F38" s="4" t="inlineStr">
        <is>
          <t>Security operations</t>
        </is>
      </c>
      <c r="G38" s="4" t="inlineStr">
        <is>
          <t>Must</t>
        </is>
      </c>
      <c r="H38" s="4" t="inlineStr">
        <is>
          <t>W2</t>
        </is>
      </c>
      <c r="I38" s="4" t="inlineStr"/>
      <c r="J38" s="5" t="inlineStr"/>
      <c r="K38" s="5" t="inlineStr"/>
      <c r="L38" s="5" t="inlineStr">
        <is>
          <t>Open</t>
        </is>
      </c>
      <c r="M38" s="5" t="inlineStr"/>
    </row>
    <row r="39">
      <c r="A39" s="4" t="inlineStr">
        <is>
          <t>C13</t>
        </is>
      </c>
      <c r="B39" s="4" t="inlineStr">
        <is>
          <t>Device estate</t>
        </is>
      </c>
      <c r="C39" s="4" t="inlineStr">
        <is>
          <t>Devices in low-bandwidth, disconnected or air-gapped locations</t>
        </is>
      </c>
      <c r="D39" s="4" t="inlineStr">
        <is>
          <t>11, 12</t>
        </is>
      </c>
      <c r="E39" s="4" t="inlineStr">
        <is>
          <t>Network inventory; site survey</t>
        </is>
      </c>
      <c r="F39" s="4" t="inlineStr">
        <is>
          <t>Network lead</t>
        </is>
      </c>
      <c r="G39" s="4" t="inlineStr">
        <is>
          <t>Must</t>
        </is>
      </c>
      <c r="H39" s="4" t="inlineStr">
        <is>
          <t>W6</t>
        </is>
      </c>
      <c r="I39" s="4" t="inlineStr"/>
      <c r="J39" s="5" t="inlineStr"/>
      <c r="K39" s="5" t="inlineStr"/>
      <c r="L39" s="5" t="inlineStr">
        <is>
          <t>Open</t>
        </is>
      </c>
      <c r="M39" s="5" t="inlineStr"/>
    </row>
    <row r="40">
      <c r="A40" s="6" t="inlineStr">
        <is>
          <t>C14</t>
        </is>
      </c>
      <c r="B40" s="6" t="inlineStr">
        <is>
          <t>Device estate</t>
        </is>
      </c>
      <c r="C40" s="6" t="inlineStr">
        <is>
          <t>Hardware vendors and models in use, and whether BIOS or firmware management is required</t>
        </is>
      </c>
      <c r="D40" s="6" t="inlineStr">
        <is>
          <t>7, 11</t>
        </is>
      </c>
      <c r="E40" s="6" t="inlineStr">
        <is>
          <t>Asset register</t>
        </is>
      </c>
      <c r="F40" s="6" t="inlineStr">
        <is>
          <t>Asset manager</t>
        </is>
      </c>
      <c r="G40" s="6" t="inlineStr">
        <is>
          <t>Should</t>
        </is>
      </c>
      <c r="H40" s="6" t="inlineStr">
        <is>
          <t>W2</t>
        </is>
      </c>
      <c r="I40" s="6" t="inlineStr">
        <is>
          <t>GOV GAP: BIOS configuration profiles and DFCI management are not yet available in GCC High or DoD</t>
        </is>
      </c>
      <c r="J40" s="6" t="inlineStr"/>
      <c r="K40" s="6" t="inlineStr"/>
      <c r="L40" s="6" t="inlineStr">
        <is>
          <t>Open</t>
        </is>
      </c>
      <c r="M40" s="6" t="inlineStr"/>
    </row>
    <row r="41">
      <c r="A41" s="6" t="inlineStr">
        <is>
          <t>C15</t>
        </is>
      </c>
      <c r="B41" s="6" t="inlineStr">
        <is>
          <t>Device estate</t>
        </is>
      </c>
      <c r="C41" s="6" t="inlineStr">
        <is>
          <t>Autopilot registration state and whether hardware hashes are held or obtainable from the vendor</t>
        </is>
      </c>
      <c r="D41" s="6" t="inlineStr">
        <is>
          <t>7, 11</t>
        </is>
      </c>
      <c r="E41" s="6" t="inlineStr">
        <is>
          <t>Intune Autopilot devices blade; vendor registration</t>
        </is>
      </c>
      <c r="F41" s="6" t="inlineStr">
        <is>
          <t>Endpoint team</t>
        </is>
      </c>
      <c r="G41" s="6" t="inlineStr">
        <is>
          <t>Must</t>
        </is>
      </c>
      <c r="H41" s="6" t="inlineStr">
        <is>
          <t>W2</t>
        </is>
      </c>
      <c r="I41" s="6" t="inlineStr">
        <is>
          <t>GOV GAP: classic Windows Autopilot is not available in GCC High or DoD; Autopilot device preparation is partially available</t>
        </is>
      </c>
      <c r="J41" s="6" t="inlineStr"/>
      <c r="K41" s="6" t="inlineStr"/>
      <c r="L41" s="6" t="inlineStr">
        <is>
          <t>Open</t>
        </is>
      </c>
      <c r="M41" s="6" t="inlineStr"/>
    </row>
    <row r="42">
      <c r="A42" s="4" t="inlineStr">
        <is>
          <t>C16</t>
        </is>
      </c>
      <c r="B42" s="4" t="inlineStr">
        <is>
          <t>Device estate</t>
        </is>
      </c>
      <c r="C42" s="4" t="inlineStr">
        <is>
          <t>Device naming convention and asset tagging standard</t>
        </is>
      </c>
      <c r="D42" s="4" t="inlineStr">
        <is>
          <t>7, 14</t>
        </is>
      </c>
      <c r="E42" s="4" t="inlineStr">
        <is>
          <t>Existing standard document</t>
        </is>
      </c>
      <c r="F42" s="4" t="inlineStr">
        <is>
          <t>Endpoint team</t>
        </is>
      </c>
      <c r="G42" s="4" t="inlineStr">
        <is>
          <t>Should</t>
        </is>
      </c>
      <c r="H42" s="4" t="inlineStr">
        <is>
          <t>W2</t>
        </is>
      </c>
      <c r="I42" s="4" t="inlineStr"/>
      <c r="J42" s="5" t="inlineStr"/>
      <c r="K42" s="5" t="inlineStr"/>
      <c r="L42" s="5" t="inlineStr">
        <is>
          <t>Open</t>
        </is>
      </c>
      <c r="M42" s="5" t="inlineStr"/>
    </row>
    <row r="43">
      <c r="A43" s="6" t="inlineStr">
        <is>
          <t>C17</t>
        </is>
      </c>
      <c r="B43" s="6" t="inlineStr">
        <is>
          <t>Device estate</t>
        </is>
      </c>
      <c r="C43" s="6" t="inlineStr">
        <is>
          <t>Virtual desktop estate: AVD, Windows 365, VDI - in scope or not?</t>
        </is>
      </c>
      <c r="D43" s="6" t="inlineStr">
        <is>
          <t>3, 11</t>
        </is>
      </c>
      <c r="E43" s="6" t="inlineStr">
        <is>
          <t>Platform team</t>
        </is>
      </c>
      <c r="F43" s="6" t="inlineStr">
        <is>
          <t>Platform lead</t>
        </is>
      </c>
      <c r="G43" s="6" t="inlineStr">
        <is>
          <t>Should</t>
        </is>
      </c>
      <c r="H43" s="6" t="inlineStr">
        <is>
          <t>W2</t>
        </is>
      </c>
      <c r="I43" s="6" t="inlineStr">
        <is>
          <t>GOV GAP: Windows Enterprise multi-session (AVD) is not available in GCC High or DoD</t>
        </is>
      </c>
      <c r="J43" s="6" t="inlineStr"/>
      <c r="K43" s="6" t="inlineStr"/>
      <c r="L43" s="6" t="inlineStr">
        <is>
          <t>Open</t>
        </is>
      </c>
      <c r="M43" s="6" t="inlineStr"/>
    </row>
    <row r="44">
      <c r="A44" s="4" t="inlineStr">
        <is>
          <t>C18</t>
        </is>
      </c>
      <c r="B44" s="4" t="inlineStr">
        <is>
          <t>Device estate</t>
        </is>
      </c>
      <c r="C44" s="4" t="inlineStr">
        <is>
          <t>Device counts per agency and per site, to size rings and delegated scopes</t>
        </is>
      </c>
      <c r="D44" s="4" t="inlineStr">
        <is>
          <t>11 Tenant topology</t>
        </is>
      </c>
      <c r="E44" s="4" t="inlineStr">
        <is>
          <t>Asset register aggregation</t>
        </is>
      </c>
      <c r="F44" s="4" t="inlineStr">
        <is>
          <t>Asset manager</t>
        </is>
      </c>
      <c r="G44" s="4" t="inlineStr">
        <is>
          <t>Must</t>
        </is>
      </c>
      <c r="H44" s="4" t="inlineStr">
        <is>
          <t>W2</t>
        </is>
      </c>
      <c r="I44" s="4" t="inlineStr"/>
      <c r="J44" s="5" t="inlineStr"/>
      <c r="K44" s="5" t="inlineStr"/>
      <c r="L44" s="5" t="inlineStr">
        <is>
          <t>Open</t>
        </is>
      </c>
      <c r="M44" s="5" t="inlineStr"/>
    </row>
    <row r="45">
      <c r="A45" s="4" t="inlineStr">
        <is>
          <t>D01</t>
        </is>
      </c>
      <c r="B45" s="4" t="inlineStr">
        <is>
          <t>Personas</t>
        </is>
      </c>
      <c r="C45" s="4" t="inlineStr">
        <is>
          <t>Persona catalogue: office, frontline, field, executive, developer, privileged admin, contractor, counter staff</t>
        </is>
      </c>
      <c r="D45" s="4" t="inlineStr">
        <is>
          <t>3, 4</t>
        </is>
      </c>
      <c r="E45" s="4" t="inlineStr">
        <is>
          <t>Workshop with agency representatives</t>
        </is>
      </c>
      <c r="F45" s="4" t="inlineStr">
        <is>
          <t>Service owner</t>
        </is>
      </c>
      <c r="G45" s="4" t="inlineStr">
        <is>
          <t>Must</t>
        </is>
      </c>
      <c r="H45" s="4" t="inlineStr">
        <is>
          <t>W2</t>
        </is>
      </c>
      <c r="I45" s="4" t="inlineStr"/>
      <c r="J45" s="5" t="inlineStr"/>
      <c r="K45" s="5" t="inlineStr"/>
      <c r="L45" s="5" t="inlineStr">
        <is>
          <t>Open</t>
        </is>
      </c>
      <c r="M45" s="5" t="inlineStr"/>
    </row>
    <row r="46">
      <c r="A46" s="4" t="inlineStr">
        <is>
          <t>D02</t>
        </is>
      </c>
      <c r="B46" s="4" t="inlineStr">
        <is>
          <t>Personas</t>
        </is>
      </c>
      <c r="C46" s="4" t="inlineStr">
        <is>
          <t>Per persona: applications required, offline working needs, peripherals, data classification handled</t>
        </is>
      </c>
      <c r="D46" s="4" t="inlineStr">
        <is>
          <t>4, 7, 9</t>
        </is>
      </c>
      <c r="E46" s="4" t="inlineStr">
        <is>
          <t>Workshop; app owner interviews</t>
        </is>
      </c>
      <c r="F46" s="4" t="inlineStr">
        <is>
          <t>Agency IT leads</t>
        </is>
      </c>
      <c r="G46" s="4" t="inlineStr">
        <is>
          <t>Must</t>
        </is>
      </c>
      <c r="H46" s="4" t="inlineStr">
        <is>
          <t>W2</t>
        </is>
      </c>
      <c r="I46" s="4" t="inlineStr"/>
      <c r="J46" s="5" t="inlineStr"/>
      <c r="K46" s="5" t="inlineStr"/>
      <c r="L46" s="5" t="inlineStr">
        <is>
          <t>Open</t>
        </is>
      </c>
      <c r="M46" s="5" t="inlineStr"/>
    </row>
    <row r="47">
      <c r="A47" s="4" t="inlineStr">
        <is>
          <t>D03</t>
        </is>
      </c>
      <c r="B47" s="4" t="inlineStr">
        <is>
          <t>Personas</t>
        </is>
      </c>
      <c r="C47" s="4" t="inlineStr">
        <is>
          <t>Privileged users and whether privileged access workstations exist today</t>
        </is>
      </c>
      <c r="D47" s="4" t="inlineStr">
        <is>
          <t>10 Security</t>
        </is>
      </c>
      <c r="E47" s="4" t="inlineStr">
        <is>
          <t>Security team interview</t>
        </is>
      </c>
      <c r="F47" s="4" t="inlineStr">
        <is>
          <t>Security architect</t>
        </is>
      </c>
      <c r="G47" s="4" t="inlineStr">
        <is>
          <t>Must</t>
        </is>
      </c>
      <c r="H47" s="4" t="inlineStr">
        <is>
          <t>W3</t>
        </is>
      </c>
      <c r="I47" s="4" t="inlineStr"/>
      <c r="J47" s="5" t="inlineStr"/>
      <c r="K47" s="5" t="inlineStr"/>
      <c r="L47" s="5" t="inlineStr">
        <is>
          <t>Open</t>
        </is>
      </c>
      <c r="M47" s="5" t="inlineStr"/>
    </row>
    <row r="48">
      <c r="A48" s="4" t="inlineStr">
        <is>
          <t>D04</t>
        </is>
      </c>
      <c r="B48" s="4" t="inlineStr">
        <is>
          <t>Personas</t>
        </is>
      </c>
      <c r="C48" s="4" t="inlineStr">
        <is>
          <t>Users who need local admin or elevation, and what they actually elevate</t>
        </is>
      </c>
      <c r="D48" s="4" t="inlineStr">
        <is>
          <t>10 Security</t>
        </is>
      </c>
      <c r="E48" s="4" t="inlineStr">
        <is>
          <t>Run an elevation policy in reporting-only mode for 2-4 weeks before deciding (MSEndpointMgr EPM guidance), then map to personas</t>
        </is>
      </c>
      <c r="F48" s="4" t="inlineStr">
        <is>
          <t>Security architect</t>
        </is>
      </c>
      <c r="G48" s="4" t="inlineStr">
        <is>
          <t>Must</t>
        </is>
      </c>
      <c r="H48" s="4" t="inlineStr">
        <is>
          <t>W3</t>
        </is>
      </c>
      <c r="I48" s="4" t="inlineStr"/>
      <c r="J48" s="5" t="inlineStr"/>
      <c r="K48" s="5" t="inlineStr"/>
      <c r="L48" s="5" t="inlineStr">
        <is>
          <t>Open</t>
        </is>
      </c>
      <c r="M48" s="5" t="inlineStr"/>
    </row>
    <row r="49">
      <c r="A49" s="4" t="inlineStr">
        <is>
          <t>D05</t>
        </is>
      </c>
      <c r="B49" s="4" t="inlineStr">
        <is>
          <t>Personas</t>
        </is>
      </c>
      <c r="C49" s="4" t="inlineStr">
        <is>
          <t>Users needing accessibility adjustments or assisted digital support</t>
        </is>
      </c>
      <c r="D49" s="4" t="inlineStr">
        <is>
          <t>4, 13</t>
        </is>
      </c>
      <c r="E49" s="4" t="inlineStr">
        <is>
          <t>Accessibility lead; HR</t>
        </is>
      </c>
      <c r="F49" s="4" t="inlineStr">
        <is>
          <t>Accessibility lead</t>
        </is>
      </c>
      <c r="G49" s="4" t="inlineStr">
        <is>
          <t>Must</t>
        </is>
      </c>
      <c r="H49" s="4" t="inlineStr">
        <is>
          <t>W8</t>
        </is>
      </c>
      <c r="I49" s="4" t="inlineStr"/>
      <c r="J49" s="5" t="inlineStr"/>
      <c r="K49" s="5" t="inlineStr"/>
      <c r="L49" s="5" t="inlineStr">
        <is>
          <t>Open</t>
        </is>
      </c>
      <c r="M49" s="5" t="inlineStr"/>
    </row>
    <row r="50">
      <c r="A50" s="4" t="inlineStr">
        <is>
          <t>D06</t>
        </is>
      </c>
      <c r="B50" s="4" t="inlineStr">
        <is>
          <t>Personas</t>
        </is>
      </c>
      <c r="C50" s="4" t="inlineStr">
        <is>
          <t>Contractors and third parties: who owns their devices and how do they get access?</t>
        </is>
      </c>
      <c r="D50" s="4" t="inlineStr">
        <is>
          <t>3, 10</t>
        </is>
      </c>
      <c r="E50" s="4" t="inlineStr">
        <is>
          <t>Contract register; identity team</t>
        </is>
      </c>
      <c r="F50" s="4" t="inlineStr">
        <is>
          <t>Security architect</t>
        </is>
      </c>
      <c r="G50" s="4" t="inlineStr">
        <is>
          <t>Must</t>
        </is>
      </c>
      <c r="H50" s="4" t="inlineStr">
        <is>
          <t>W3</t>
        </is>
      </c>
      <c r="I50" s="4" t="inlineStr"/>
      <c r="J50" s="5" t="inlineStr"/>
      <c r="K50" s="5" t="inlineStr"/>
      <c r="L50" s="5" t="inlineStr">
        <is>
          <t>Open</t>
        </is>
      </c>
      <c r="M50" s="5" t="inlineStr"/>
    </row>
    <row r="51">
      <c r="A51" s="4" t="inlineStr">
        <is>
          <t>D07</t>
        </is>
      </c>
      <c r="B51" s="4" t="inlineStr">
        <is>
          <t>Personas</t>
        </is>
      </c>
      <c r="C51" s="4" t="inlineStr">
        <is>
          <t>Field and mobile workers with connectivity constraints</t>
        </is>
      </c>
      <c r="D51" s="4" t="inlineStr">
        <is>
          <t>7, 11</t>
        </is>
      </c>
      <c r="E51" s="4" t="inlineStr">
        <is>
          <t>Workshop</t>
        </is>
      </c>
      <c r="F51" s="4" t="inlineStr">
        <is>
          <t>Agency IT leads</t>
        </is>
      </c>
      <c r="G51" s="4" t="inlineStr">
        <is>
          <t>Should</t>
        </is>
      </c>
      <c r="H51" s="4" t="inlineStr">
        <is>
          <t>W2</t>
        </is>
      </c>
      <c r="I51" s="4" t="inlineStr"/>
      <c r="J51" s="5" t="inlineStr"/>
      <c r="K51" s="5" t="inlineStr"/>
      <c r="L51" s="5" t="inlineStr">
        <is>
          <t>Open</t>
        </is>
      </c>
      <c r="M51" s="5" t="inlineStr"/>
    </row>
    <row r="52">
      <c r="A52" s="4" t="inlineStr">
        <is>
          <t>D08</t>
        </is>
      </c>
      <c r="B52" s="4" t="inlineStr">
        <is>
          <t>Personas</t>
        </is>
      </c>
      <c r="C52" s="4" t="inlineStr">
        <is>
          <t>How executives and VIPs will be handled in rollout - Microsoft advises pilots should not be executives</t>
        </is>
      </c>
      <c r="D52" s="4" t="inlineStr">
        <is>
          <t>19 Transition</t>
        </is>
      </c>
      <c r="E52" s="4" t="inlineStr">
        <is>
          <t>Workshop</t>
        </is>
      </c>
      <c r="F52" s="4" t="inlineStr">
        <is>
          <t>Service owner</t>
        </is>
      </c>
      <c r="G52" s="4" t="inlineStr">
        <is>
          <t>Should</t>
        </is>
      </c>
      <c r="H52" s="4" t="inlineStr">
        <is>
          <t>W9</t>
        </is>
      </c>
      <c r="I52" s="4" t="inlineStr"/>
      <c r="J52" s="5" t="inlineStr"/>
      <c r="K52" s="5" t="inlineStr"/>
      <c r="L52" s="5" t="inlineStr">
        <is>
          <t>Open</t>
        </is>
      </c>
      <c r="M52" s="5" t="inlineStr"/>
    </row>
    <row r="53">
      <c r="A53" s="4" t="inlineStr">
        <is>
          <t>E01</t>
        </is>
      </c>
      <c r="B53" s="4" t="inlineStr">
        <is>
          <t>Licensing and cost</t>
        </is>
      </c>
      <c r="C53" s="4" t="inlineStr">
        <is>
          <t>Current licence SKUs and counts: M365 E3/E5/G3/G5, EMS, Intune Plan 1 / Plan 2 / Suite</t>
        </is>
      </c>
      <c r="D53" s="4" t="inlineStr">
        <is>
          <t>18 Cost</t>
        </is>
      </c>
      <c r="E53" s="4" t="inlineStr">
        <is>
          <t>M365 admin centre licence report</t>
        </is>
      </c>
      <c r="F53" s="4" t="inlineStr">
        <is>
          <t>Licensing manager</t>
        </is>
      </c>
      <c r="G53" s="4" t="inlineStr">
        <is>
          <t>Must</t>
        </is>
      </c>
      <c r="H53" s="4" t="inlineStr">
        <is>
          <t>W1</t>
        </is>
      </c>
      <c r="I53" s="4" t="inlineStr"/>
      <c r="J53" s="5" t="inlineStr"/>
      <c r="K53" s="5" t="inlineStr"/>
      <c r="L53" s="5" t="inlineStr">
        <is>
          <t>Open</t>
        </is>
      </c>
      <c r="M53" s="5" t="inlineStr"/>
    </row>
    <row r="54">
      <c r="A54" s="4" t="inlineStr">
        <is>
          <t>E02</t>
        </is>
      </c>
      <c r="B54" s="4" t="inlineStr">
        <is>
          <t>Licensing and cost</t>
        </is>
      </c>
      <c r="C54" s="4" t="inlineStr">
        <is>
          <t>Is Microsoft Entra ID P1 or P2 held? It underpins Autopilot, Conditional Access and dynamic groups</t>
        </is>
      </c>
      <c r="D54" s="4" t="inlineStr">
        <is>
          <t>7, 10, 18</t>
        </is>
      </c>
      <c r="E54" s="4" t="inlineStr">
        <is>
          <t>Licence report</t>
        </is>
      </c>
      <c r="F54" s="4" t="inlineStr">
        <is>
          <t>Licensing manager</t>
        </is>
      </c>
      <c r="G54" s="4" t="inlineStr">
        <is>
          <t>Must</t>
        </is>
      </c>
      <c r="H54" s="4" t="inlineStr">
        <is>
          <t>W1</t>
        </is>
      </c>
      <c r="I54" s="4" t="inlineStr"/>
      <c r="J54" s="5" t="inlineStr"/>
      <c r="K54" s="5" t="inlineStr"/>
      <c r="L54" s="5" t="inlineStr">
        <is>
          <t>Open</t>
        </is>
      </c>
      <c r="M54" s="5" t="inlineStr"/>
    </row>
    <row r="55">
      <c r="A55" s="4" t="inlineStr">
        <is>
          <t>E03</t>
        </is>
      </c>
      <c r="B55" s="4" t="inlineStr">
        <is>
          <t>Licensing and cost</t>
        </is>
      </c>
      <c r="C55" s="4" t="inlineStr">
        <is>
          <t>Defender for Endpoint entitlement and plan</t>
        </is>
      </c>
      <c r="D55" s="4" t="inlineStr">
        <is>
          <t>10 Security</t>
        </is>
      </c>
      <c r="E55" s="4" t="inlineStr">
        <is>
          <t>Licence report</t>
        </is>
      </c>
      <c r="F55" s="4" t="inlineStr">
        <is>
          <t>Licensing manager</t>
        </is>
      </c>
      <c r="G55" s="4" t="inlineStr">
        <is>
          <t>Must</t>
        </is>
      </c>
      <c r="H55" s="4" t="inlineStr">
        <is>
          <t>W3</t>
        </is>
      </c>
      <c r="I55" s="4" t="inlineStr"/>
      <c r="J55" s="5" t="inlineStr"/>
      <c r="K55" s="5" t="inlineStr"/>
      <c r="L55" s="5" t="inlineStr">
        <is>
          <t>Open</t>
        </is>
      </c>
      <c r="M55" s="5" t="inlineStr"/>
    </row>
    <row r="56">
      <c r="A56" s="6" t="inlineStr">
        <is>
          <t>E04</t>
        </is>
      </c>
      <c r="B56" s="6" t="inlineStr">
        <is>
          <t>Licensing and cost</t>
        </is>
      </c>
      <c r="C56" s="6" t="inlineStr">
        <is>
          <t>Which Intune Suite capabilities are entitled or required: EPM, Remote Help, Advanced Analytics, Cloud PKI, Tunnel, specialty devices?</t>
        </is>
      </c>
      <c r="D56" s="6" t="inlineStr">
        <is>
          <t>7, 18</t>
        </is>
      </c>
      <c r="E56" s="6" t="inlineStr">
        <is>
          <t>Licence report; verify current packaging with Microsoft</t>
        </is>
      </c>
      <c r="F56" s="6" t="inlineStr">
        <is>
          <t>Licensing manager</t>
        </is>
      </c>
      <c r="G56" s="6" t="inlineStr">
        <is>
          <t>Must</t>
        </is>
      </c>
      <c r="H56" s="6" t="inlineStr">
        <is>
          <t>W1</t>
        </is>
      </c>
      <c r="I56" s="6" t="inlineStr">
        <is>
          <t>GOV GAP: Cloud PKI and Remote Help are GCC High only and not supported in DoD</t>
        </is>
      </c>
      <c r="J56" s="6" t="inlineStr"/>
      <c r="K56" s="6" t="inlineStr"/>
      <c r="L56" s="6" t="inlineStr">
        <is>
          <t>Open</t>
        </is>
      </c>
      <c r="M56" s="6" t="inlineStr"/>
    </row>
    <row r="57">
      <c r="A57" s="4" t="inlineStr">
        <is>
          <t>E05</t>
        </is>
      </c>
      <c r="B57" s="4" t="inlineStr">
        <is>
          <t>Licensing and cost</t>
        </is>
      </c>
      <c r="C57" s="4" t="inlineStr">
        <is>
          <t>Per-user versus per-device licensing needs for shared and kiosk devices</t>
        </is>
      </c>
      <c r="D57" s="4" t="inlineStr">
        <is>
          <t>18 Cost</t>
        </is>
      </c>
      <c r="E57" s="4" t="inlineStr">
        <is>
          <t>Licence report; device cohort data</t>
        </is>
      </c>
      <c r="F57" s="4" t="inlineStr">
        <is>
          <t>Licensing manager</t>
        </is>
      </c>
      <c r="G57" s="4" t="inlineStr">
        <is>
          <t>Must</t>
        </is>
      </c>
      <c r="H57" s="4" t="inlineStr">
        <is>
          <t>W1</t>
        </is>
      </c>
      <c r="I57" s="4" t="inlineStr"/>
      <c r="J57" s="5" t="inlineStr"/>
      <c r="K57" s="5" t="inlineStr"/>
      <c r="L57" s="5" t="inlineStr">
        <is>
          <t>Open</t>
        </is>
      </c>
      <c r="M57" s="5" t="inlineStr"/>
    </row>
    <row r="58">
      <c r="A58" s="4" t="inlineStr">
        <is>
          <t>E06</t>
        </is>
      </c>
      <c r="B58" s="4" t="inlineStr">
        <is>
          <t>Licensing and cost</t>
        </is>
      </c>
      <c r="C58" s="4" t="inlineStr">
        <is>
          <t>Incumbent MDM/EMM contract: cost, term, notice period and exit obligations</t>
        </is>
      </c>
      <c r="D58" s="4" t="inlineStr">
        <is>
          <t>14, 18</t>
        </is>
      </c>
      <c r="E58" s="4" t="inlineStr">
        <is>
          <t>Contract register</t>
        </is>
      </c>
      <c r="F58" s="4" t="inlineStr">
        <is>
          <t>Commercial lead</t>
        </is>
      </c>
      <c r="G58" s="4" t="inlineStr">
        <is>
          <t>Must</t>
        </is>
      </c>
      <c r="H58" s="4" t="inlineStr">
        <is>
          <t>W1</t>
        </is>
      </c>
      <c r="I58" s="4" t="inlineStr"/>
      <c r="J58" s="5" t="inlineStr"/>
      <c r="K58" s="5" t="inlineStr"/>
      <c r="L58" s="5" t="inlineStr">
        <is>
          <t>Open</t>
        </is>
      </c>
      <c r="M58" s="5" t="inlineStr"/>
    </row>
    <row r="59">
      <c r="A59" s="4" t="inlineStr">
        <is>
          <t>E07</t>
        </is>
      </c>
      <c r="B59" s="4" t="inlineStr">
        <is>
          <t>Licensing and cost</t>
        </is>
      </c>
      <c r="C59" s="4" t="inlineStr">
        <is>
          <t>Configuration Manager licensing and co-management entitlement</t>
        </is>
      </c>
      <c r="D59" s="4" t="inlineStr">
        <is>
          <t>18</t>
        </is>
      </c>
      <c r="E59" s="4" t="inlineStr">
        <is>
          <t>Licence report</t>
        </is>
      </c>
      <c r="F59" s="4" t="inlineStr">
        <is>
          <t>Licensing manager</t>
        </is>
      </c>
      <c r="G59" s="4" t="inlineStr">
        <is>
          <t>Should</t>
        </is>
      </c>
      <c r="H59" s="4" t="inlineStr">
        <is>
          <t>W5</t>
        </is>
      </c>
      <c r="I59" s="4" t="inlineStr"/>
      <c r="J59" s="5" t="inlineStr"/>
      <c r="K59" s="5" t="inlineStr"/>
      <c r="L59" s="5" t="inlineStr">
        <is>
          <t>Open</t>
        </is>
      </c>
      <c r="M59" s="5" t="inlineStr"/>
    </row>
    <row r="60">
      <c r="A60" s="4" t="inlineStr">
        <is>
          <t>E08</t>
        </is>
      </c>
      <c r="B60" s="4" t="inlineStr">
        <is>
          <t>Licensing and cost</t>
        </is>
      </c>
      <c r="C60" s="4" t="inlineStr">
        <is>
          <t>Budget envelope by financial year, and what it must cover</t>
        </is>
      </c>
      <c r="D60" s="4" t="inlineStr">
        <is>
          <t>18 Cost</t>
        </is>
      </c>
      <c r="E60" s="4" t="inlineStr">
        <is>
          <t>Finance</t>
        </is>
      </c>
      <c r="F60" s="4" t="inlineStr">
        <is>
          <t>Finance business partner</t>
        </is>
      </c>
      <c r="G60" s="4" t="inlineStr">
        <is>
          <t>Must</t>
        </is>
      </c>
      <c r="H60" s="4" t="inlineStr">
        <is>
          <t>W1</t>
        </is>
      </c>
      <c r="I60" s="4" t="inlineStr"/>
      <c r="J60" s="5" t="inlineStr"/>
      <c r="K60" s="5" t="inlineStr"/>
      <c r="L60" s="5" t="inlineStr">
        <is>
          <t>Open</t>
        </is>
      </c>
      <c r="M60" s="5" t="inlineStr"/>
    </row>
    <row r="61">
      <c r="A61" s="4" t="inlineStr">
        <is>
          <t>E09</t>
        </is>
      </c>
      <c r="B61" s="4" t="inlineStr">
        <is>
          <t>Licensing and cost</t>
        </is>
      </c>
      <c r="C61" s="4" t="inlineStr">
        <is>
          <t>Chargeback or recharge model across agencies</t>
        </is>
      </c>
      <c r="D61" s="4" t="inlineStr">
        <is>
          <t>18 FinOps</t>
        </is>
      </c>
      <c r="E61" s="4" t="inlineStr">
        <is>
          <t>Finance</t>
        </is>
      </c>
      <c r="F61" s="4" t="inlineStr">
        <is>
          <t>Finance business partner</t>
        </is>
      </c>
      <c r="G61" s="4" t="inlineStr">
        <is>
          <t>Should</t>
        </is>
      </c>
      <c r="H61" s="4" t="inlineStr">
        <is>
          <t>W1</t>
        </is>
      </c>
      <c r="I61" s="4" t="inlineStr"/>
      <c r="J61" s="5" t="inlineStr"/>
      <c r="K61" s="5" t="inlineStr"/>
      <c r="L61" s="5" t="inlineStr">
        <is>
          <t>Open</t>
        </is>
      </c>
      <c r="M61" s="5" t="inlineStr"/>
    </row>
    <row r="62">
      <c r="A62" s="4" t="inlineStr">
        <is>
          <t>E10</t>
        </is>
      </c>
      <c r="B62" s="4" t="inlineStr">
        <is>
          <t>Licensing and cost</t>
        </is>
      </c>
      <c r="C62" s="4" t="inlineStr">
        <is>
          <t>Current cost of build, imaging and support per device, as the baseline to improve on</t>
        </is>
      </c>
      <c r="D62" s="4" t="inlineStr">
        <is>
          <t>18 Cost</t>
        </is>
      </c>
      <c r="E62" s="4" t="inlineStr">
        <is>
          <t>Finance; service desk metrics</t>
        </is>
      </c>
      <c r="F62" s="4" t="inlineStr">
        <is>
          <t>Finance business partner</t>
        </is>
      </c>
      <c r="G62" s="4" t="inlineStr">
        <is>
          <t>Should</t>
        </is>
      </c>
      <c r="H62" s="4" t="inlineStr">
        <is>
          <t>W8</t>
        </is>
      </c>
      <c r="I62" s="4" t="inlineStr"/>
      <c r="J62" s="5" t="inlineStr"/>
      <c r="K62" s="5" t="inlineStr"/>
      <c r="L62" s="5" t="inlineStr">
        <is>
          <t>Open</t>
        </is>
      </c>
      <c r="M62" s="5" t="inlineStr"/>
    </row>
    <row r="63">
      <c r="A63" s="6" t="inlineStr">
        <is>
          <t>F01</t>
        </is>
      </c>
      <c r="B63" s="6" t="inlineStr">
        <is>
          <t>Identity and access</t>
        </is>
      </c>
      <c r="C63" s="6" t="inlineStr">
        <is>
          <t>How many Entra tenants exist, and in which cloud: commercial, GCC, GCC High, DoD or a national sovereign cloud?</t>
        </is>
      </c>
      <c r="D63" s="6" t="inlineStr">
        <is>
          <t>11 ADR-001</t>
        </is>
      </c>
      <c r="E63" s="6" t="inlineStr">
        <is>
          <t>Entra portal; licensing records</t>
        </is>
      </c>
      <c r="F63" s="6" t="inlineStr">
        <is>
          <t>Identity lead</t>
        </is>
      </c>
      <c r="G63" s="6" t="inlineStr">
        <is>
          <t>Must</t>
        </is>
      </c>
      <c r="H63" s="6" t="inlineStr">
        <is>
          <t>W3</t>
        </is>
      </c>
      <c r="I63" s="6" t="inlineStr">
        <is>
          <t>GOV GAP: there is no built-in migration between the commercial service and the government cloud - devices must unenrol and re-enrol</t>
        </is>
      </c>
      <c r="J63" s="6" t="inlineStr"/>
      <c r="K63" s="6" t="inlineStr"/>
      <c r="L63" s="6" t="inlineStr">
        <is>
          <t>Open</t>
        </is>
      </c>
      <c r="M63" s="6" t="inlineStr"/>
    </row>
    <row r="64">
      <c r="A64" s="4" t="inlineStr">
        <is>
          <t>F02</t>
        </is>
      </c>
      <c r="B64" s="4" t="inlineStr">
        <is>
          <t>Identity and access</t>
        </is>
      </c>
      <c r="C64" s="4" t="inlineStr">
        <is>
          <t>Directory synchronisation topology: Entra Connect or cloud sync, OU scope, filtering rules</t>
        </is>
      </c>
      <c r="D64" s="4" t="inlineStr">
        <is>
          <t>8 Integration</t>
        </is>
      </c>
      <c r="E64" s="4" t="inlineStr">
        <is>
          <t>Entra Connect configuration export</t>
        </is>
      </c>
      <c r="F64" s="4" t="inlineStr">
        <is>
          <t>Identity lead</t>
        </is>
      </c>
      <c r="G64" s="4" t="inlineStr">
        <is>
          <t>Must</t>
        </is>
      </c>
      <c r="H64" s="4" t="inlineStr">
        <is>
          <t>W3</t>
        </is>
      </c>
      <c r="I64" s="4" t="inlineStr"/>
      <c r="J64" s="5" t="inlineStr"/>
      <c r="K64" s="5" t="inlineStr"/>
      <c r="L64" s="5" t="inlineStr">
        <is>
          <t>Open</t>
        </is>
      </c>
      <c r="M64" s="5" t="inlineStr"/>
    </row>
    <row r="65">
      <c r="A65" s="4" t="inlineStr">
        <is>
          <t>F03</t>
        </is>
      </c>
      <c r="B65" s="4" t="inlineStr">
        <is>
          <t>Identity and access</t>
        </is>
      </c>
      <c r="C65" s="4" t="inlineStr">
        <is>
          <t>Authentication methods in use, MFA coverage, and the target for phishing-resistant authentication</t>
        </is>
      </c>
      <c r="D65" s="4" t="inlineStr">
        <is>
          <t>10 Security</t>
        </is>
      </c>
      <c r="E65" s="4" t="inlineStr">
        <is>
          <t>Entra authentication methods report</t>
        </is>
      </c>
      <c r="F65" s="4" t="inlineStr">
        <is>
          <t>Identity lead</t>
        </is>
      </c>
      <c r="G65" s="4" t="inlineStr">
        <is>
          <t>Must</t>
        </is>
      </c>
      <c r="H65" s="4" t="inlineStr">
        <is>
          <t>W3</t>
        </is>
      </c>
      <c r="I65" s="4" t="inlineStr"/>
      <c r="J65" s="5" t="inlineStr"/>
      <c r="K65" s="5" t="inlineStr"/>
      <c r="L65" s="5" t="inlineStr">
        <is>
          <t>Open</t>
        </is>
      </c>
      <c r="M65" s="5" t="inlineStr"/>
    </row>
    <row r="66">
      <c r="A66" s="4" t="inlineStr">
        <is>
          <t>F04</t>
        </is>
      </c>
      <c r="B66" s="4" t="inlineStr">
        <is>
          <t>Identity and access</t>
        </is>
      </c>
      <c r="C66" s="4" t="inlineStr">
        <is>
          <t>Existing Conditional Access policies, their exclusions, and break-glass account arrangements</t>
        </is>
      </c>
      <c r="D66" s="4" t="inlineStr">
        <is>
          <t>10 Security</t>
        </is>
      </c>
      <c r="E66" s="4" t="inlineStr">
        <is>
          <t>Conditional Access export (Graph or portal)</t>
        </is>
      </c>
      <c r="F66" s="4" t="inlineStr">
        <is>
          <t>Identity lead</t>
        </is>
      </c>
      <c r="G66" s="4" t="inlineStr">
        <is>
          <t>Must</t>
        </is>
      </c>
      <c r="H66" s="4" t="inlineStr">
        <is>
          <t>W3</t>
        </is>
      </c>
      <c r="I66" s="4" t="inlineStr"/>
      <c r="J66" s="5" t="inlineStr"/>
      <c r="K66" s="5" t="inlineStr"/>
      <c r="L66" s="5" t="inlineStr">
        <is>
          <t>Open</t>
        </is>
      </c>
      <c r="M66" s="5" t="inlineStr"/>
    </row>
    <row r="67">
      <c r="A67" s="4" t="inlineStr">
        <is>
          <t>F05</t>
        </is>
      </c>
      <c r="B67" s="4" t="inlineStr">
        <is>
          <t>Identity and access</t>
        </is>
      </c>
      <c r="C67" s="4" t="inlineStr">
        <is>
          <t>Group strategy: security groups, dynamic membership rules, naming standard and ownership</t>
        </is>
      </c>
      <c r="D67" s="4" t="inlineStr">
        <is>
          <t>7, 8</t>
        </is>
      </c>
      <c r="E67" s="4" t="inlineStr">
        <is>
          <t>Entra groups export; Microsoft planning guide Step 4 group review</t>
        </is>
      </c>
      <c r="F67" s="4" t="inlineStr">
        <is>
          <t>Identity lead</t>
        </is>
      </c>
      <c r="G67" s="4" t="inlineStr">
        <is>
          <t>Must</t>
        </is>
      </c>
      <c r="H67" s="4" t="inlineStr">
        <is>
          <t>W3</t>
        </is>
      </c>
      <c r="I67" s="4" t="inlineStr"/>
      <c r="J67" s="5" t="inlineStr"/>
      <c r="K67" s="5" t="inlineStr"/>
      <c r="L67" s="5" t="inlineStr">
        <is>
          <t>Open</t>
        </is>
      </c>
      <c r="M67" s="5" t="inlineStr"/>
    </row>
    <row r="68">
      <c r="A68" s="4" t="inlineStr">
        <is>
          <t>F06</t>
        </is>
      </c>
      <c r="B68" s="4" t="inlineStr">
        <is>
          <t>Identity and access</t>
        </is>
      </c>
      <c r="C68" s="4" t="inlineStr">
        <is>
          <t>Distribution lists that must become Entra groups to be usable for targeting</t>
        </is>
      </c>
      <c r="D68" s="4" t="inlineStr">
        <is>
          <t>8</t>
        </is>
      </c>
      <c r="E68" s="4" t="inlineStr">
        <is>
          <t>Exchange DL export</t>
        </is>
      </c>
      <c r="F68" s="4" t="inlineStr">
        <is>
          <t>Identity lead</t>
        </is>
      </c>
      <c r="G68" s="4" t="inlineStr">
        <is>
          <t>Should</t>
        </is>
      </c>
      <c r="H68" s="4" t="inlineStr">
        <is>
          <t>W3</t>
        </is>
      </c>
      <c r="I68" s="4" t="inlineStr"/>
      <c r="J68" s="5" t="inlineStr"/>
      <c r="K68" s="5" t="inlineStr"/>
      <c r="L68" s="5" t="inlineStr">
        <is>
          <t>Open</t>
        </is>
      </c>
      <c r="M68" s="5" t="inlineStr"/>
    </row>
    <row r="69">
      <c r="A69" s="4" t="inlineStr">
        <is>
          <t>F07</t>
        </is>
      </c>
      <c r="B69" s="4" t="inlineStr">
        <is>
          <t>Identity and access</t>
        </is>
      </c>
      <c r="C69" s="4" t="inlineStr">
        <is>
          <t>Delegated administration model: scope tags, role assignments and agency separation</t>
        </is>
      </c>
      <c r="D69" s="4" t="inlineStr">
        <is>
          <t>10, 11 ADR-003</t>
        </is>
      </c>
      <c r="E69" s="4" t="inlineStr">
        <is>
          <t>Intune RBAC export</t>
        </is>
      </c>
      <c r="F69" s="4" t="inlineStr">
        <is>
          <t>Identity lead</t>
        </is>
      </c>
      <c r="G69" s="4" t="inlineStr">
        <is>
          <t>Must</t>
        </is>
      </c>
      <c r="H69" s="4" t="inlineStr">
        <is>
          <t>W3</t>
        </is>
      </c>
      <c r="I69" s="4" t="inlineStr"/>
      <c r="J69" s="5" t="inlineStr"/>
      <c r="K69" s="5" t="inlineStr"/>
      <c r="L69" s="5" t="inlineStr">
        <is>
          <t>Open</t>
        </is>
      </c>
      <c r="M69" s="5" t="inlineStr"/>
    </row>
    <row r="70">
      <c r="A70" s="4" t="inlineStr">
        <is>
          <t>F08</t>
        </is>
      </c>
      <c r="B70" s="4" t="inlineStr">
        <is>
          <t>Identity and access</t>
        </is>
      </c>
      <c r="C70" s="4" t="inlineStr">
        <is>
          <t>Federation to national or cross-government identity services</t>
        </is>
      </c>
      <c r="D70" s="4" t="inlineStr">
        <is>
          <t>8 Integration</t>
        </is>
      </c>
      <c r="E70" s="4" t="inlineStr">
        <is>
          <t>Identity team</t>
        </is>
      </c>
      <c r="F70" s="4" t="inlineStr">
        <is>
          <t>Identity lead</t>
        </is>
      </c>
      <c r="G70" s="4" t="inlineStr">
        <is>
          <t>Should</t>
        </is>
      </c>
      <c r="H70" s="4" t="inlineStr">
        <is>
          <t>W3</t>
        </is>
      </c>
      <c r="I70" s="4" t="inlineStr"/>
      <c r="J70" s="5" t="inlineStr"/>
      <c r="K70" s="5" t="inlineStr"/>
      <c r="L70" s="5" t="inlineStr">
        <is>
          <t>Open</t>
        </is>
      </c>
      <c r="M70" s="5" t="inlineStr"/>
    </row>
    <row r="71">
      <c r="A71" s="4" t="inlineStr">
        <is>
          <t>F09</t>
        </is>
      </c>
      <c r="B71" s="4" t="inlineStr">
        <is>
          <t>Identity and access</t>
        </is>
      </c>
      <c r="C71" s="4" t="inlineStr">
        <is>
          <t>Guest and B2B access to resources that managed devices reach</t>
        </is>
      </c>
      <c r="D71" s="4" t="inlineStr">
        <is>
          <t>10</t>
        </is>
      </c>
      <c r="E71" s="4" t="inlineStr">
        <is>
          <t>Entra external identities settings</t>
        </is>
      </c>
      <c r="F71" s="4" t="inlineStr">
        <is>
          <t>Identity lead</t>
        </is>
      </c>
      <c r="G71" s="4" t="inlineStr">
        <is>
          <t>Should</t>
        </is>
      </c>
      <c r="H71" s="4" t="inlineStr">
        <is>
          <t>W3</t>
        </is>
      </c>
      <c r="I71" s="4" t="inlineStr"/>
      <c r="J71" s="5" t="inlineStr"/>
      <c r="K71" s="5" t="inlineStr"/>
      <c r="L71" s="5" t="inlineStr">
        <is>
          <t>Open</t>
        </is>
      </c>
      <c r="M71" s="5" t="inlineStr"/>
    </row>
    <row r="72">
      <c r="A72" s="4" t="inlineStr">
        <is>
          <t>F10</t>
        </is>
      </c>
      <c r="B72" s="4" t="inlineStr">
        <is>
          <t>Identity and access</t>
        </is>
      </c>
      <c r="C72" s="4" t="inlineStr">
        <is>
          <t>Is Privileged Identity Management in use for administrative roles?</t>
        </is>
      </c>
      <c r="D72" s="4" t="inlineStr">
        <is>
          <t>10 Security</t>
        </is>
      </c>
      <c r="E72" s="4" t="inlineStr">
        <is>
          <t>Entra PIM configuration</t>
        </is>
      </c>
      <c r="F72" s="4" t="inlineStr">
        <is>
          <t>Identity lead</t>
        </is>
      </c>
      <c r="G72" s="4" t="inlineStr">
        <is>
          <t>Must</t>
        </is>
      </c>
      <c r="H72" s="4" t="inlineStr">
        <is>
          <t>W3</t>
        </is>
      </c>
      <c r="I72" s="4" t="inlineStr"/>
      <c r="J72" s="5" t="inlineStr"/>
      <c r="K72" s="5" t="inlineStr"/>
      <c r="L72" s="5" t="inlineStr">
        <is>
          <t>Open</t>
        </is>
      </c>
      <c r="M72" s="5" t="inlineStr"/>
    </row>
    <row r="73">
      <c r="A73" s="4" t="inlineStr">
        <is>
          <t>F11</t>
        </is>
      </c>
      <c r="B73" s="4" t="inlineStr">
        <is>
          <t>Identity and access</t>
        </is>
      </c>
      <c r="C73" s="4" t="inlineStr">
        <is>
          <t>Is device compliance already used as a Conditional Access condition?</t>
        </is>
      </c>
      <c r="D73" s="4" t="inlineStr">
        <is>
          <t>10 Security</t>
        </is>
      </c>
      <c r="E73" s="4" t="inlineStr">
        <is>
          <t>Conditional Access export</t>
        </is>
      </c>
      <c r="F73" s="4" t="inlineStr">
        <is>
          <t>Identity lead</t>
        </is>
      </c>
      <c r="G73" s="4" t="inlineStr">
        <is>
          <t>Must</t>
        </is>
      </c>
      <c r="H73" s="4" t="inlineStr">
        <is>
          <t>W3</t>
        </is>
      </c>
      <c r="I73" s="4" t="inlineStr"/>
      <c r="J73" s="5" t="inlineStr"/>
      <c r="K73" s="5" t="inlineStr"/>
      <c r="L73" s="5" t="inlineStr">
        <is>
          <t>Open</t>
        </is>
      </c>
      <c r="M73" s="5" t="inlineStr"/>
    </row>
    <row r="74">
      <c r="A74" s="4" t="inlineStr">
        <is>
          <t>F12</t>
        </is>
      </c>
      <c r="B74" s="4" t="inlineStr">
        <is>
          <t>Identity and access</t>
        </is>
      </c>
      <c r="C74" s="4" t="inlineStr">
        <is>
          <t>How are licences assigned - group-based or direct - and who governs that?</t>
        </is>
      </c>
      <c r="D74" s="4" t="inlineStr">
        <is>
          <t>8, 18</t>
        </is>
      </c>
      <c r="E74" s="4" t="inlineStr">
        <is>
          <t>Entra licence assignment report</t>
        </is>
      </c>
      <c r="F74" s="4" t="inlineStr">
        <is>
          <t>Licensing manager</t>
        </is>
      </c>
      <c r="G74" s="4" t="inlineStr">
        <is>
          <t>Should</t>
        </is>
      </c>
      <c r="H74" s="4" t="inlineStr">
        <is>
          <t>W3</t>
        </is>
      </c>
      <c r="I74" s="4" t="inlineStr"/>
      <c r="J74" s="5" t="inlineStr"/>
      <c r="K74" s="5" t="inlineStr"/>
      <c r="L74" s="5" t="inlineStr">
        <is>
          <t>Open</t>
        </is>
      </c>
      <c r="M74" s="5" t="inlineStr"/>
    </row>
    <row r="75">
      <c r="A75" s="4" t="inlineStr">
        <is>
          <t>G01</t>
        </is>
      </c>
      <c r="B75" s="4" t="inlineStr">
        <is>
          <t>Existing policy</t>
        </is>
      </c>
      <c r="C75" s="4" t="inlineStr">
        <is>
          <t>Full export of every Group Policy Object and the OUs each is linked to</t>
        </is>
      </c>
      <c r="D75" s="4" t="inlineStr">
        <is>
          <t>7 Logical components</t>
        </is>
      </c>
      <c r="E75" s="4" t="inlineStr">
        <is>
          <t>Get-GPOReport -All -ReportType Xml; GPMC review</t>
        </is>
      </c>
      <c r="F75" s="4" t="inlineStr">
        <is>
          <t>AD administrator</t>
        </is>
      </c>
      <c r="G75" s="4" t="inlineStr">
        <is>
          <t>Must</t>
        </is>
      </c>
      <c r="H75" s="4" t="inlineStr">
        <is>
          <t>W5</t>
        </is>
      </c>
      <c r="I75" s="4" t="inlineStr"/>
      <c r="J75" s="5" t="inlineStr"/>
      <c r="K75" s="5" t="inlineStr"/>
      <c r="L75" s="5" t="inlineStr">
        <is>
          <t>Open</t>
        </is>
      </c>
      <c r="M75" s="5" t="inlineStr"/>
    </row>
    <row r="76">
      <c r="A76" s="4" t="inlineStr">
        <is>
          <t>G02</t>
        </is>
      </c>
      <c r="B76" s="4" t="inlineStr">
        <is>
          <t>Existing policy</t>
        </is>
      </c>
      <c r="C76" s="4" t="inlineStr">
        <is>
          <t>Named owner and one-line purpose for each GPO - an unowned GPO is a deprecation candidate by definition</t>
        </is>
      </c>
      <c r="D76" s="4" t="inlineStr">
        <is>
          <t>7</t>
        </is>
      </c>
      <c r="E76" s="4" t="inlineStr">
        <is>
          <t>Inventory register per Carvalho GPO readiness method</t>
        </is>
      </c>
      <c r="F76" s="4" t="inlineStr">
        <is>
          <t>AD administrator</t>
        </is>
      </c>
      <c r="G76" s="4" t="inlineStr">
        <is>
          <t>Must</t>
        </is>
      </c>
      <c r="H76" s="4" t="inlineStr">
        <is>
          <t>W5</t>
        </is>
      </c>
      <c r="I76" s="4" t="inlineStr"/>
      <c r="J76" s="5" t="inlineStr"/>
      <c r="K76" s="5" t="inlineStr"/>
      <c r="L76" s="5" t="inlineStr">
        <is>
          <t>Open</t>
        </is>
      </c>
      <c r="M76" s="5" t="inlineStr"/>
    </row>
    <row r="77">
      <c r="A77" s="4" t="inlineStr">
        <is>
          <t>G03</t>
        </is>
      </c>
      <c r="B77" s="4" t="inlineStr">
        <is>
          <t>Existing policy</t>
        </is>
      </c>
      <c r="C77" s="4" t="inlineStr">
        <is>
          <t>Group Policy analytics results: which settings are supported, unsupported or deprecated for MDM</t>
        </is>
      </c>
      <c r="D77" s="4" t="inlineStr">
        <is>
          <t>7</t>
        </is>
      </c>
      <c r="E77" s="4" t="inlineStr">
        <is>
          <t>Import GPO XML into Intune Group Policy analytics</t>
        </is>
      </c>
      <c r="F77" s="4" t="inlineStr">
        <is>
          <t>Endpoint team</t>
        </is>
      </c>
      <c r="G77" s="4" t="inlineStr">
        <is>
          <t>Must</t>
        </is>
      </c>
      <c r="H77" s="4" t="inlineStr">
        <is>
          <t>W5</t>
        </is>
      </c>
      <c r="I77" s="4" t="inlineStr"/>
      <c r="J77" s="5" t="inlineStr"/>
      <c r="K77" s="5" t="inlineStr"/>
      <c r="L77" s="5" t="inlineStr">
        <is>
          <t>Open</t>
        </is>
      </c>
      <c r="M77" s="5" t="inlineStr"/>
    </row>
    <row r="78">
      <c r="A78" s="4" t="inlineStr">
        <is>
          <t>G04</t>
        </is>
      </c>
      <c r="B78" s="4" t="inlineStr">
        <is>
          <t>Existing policy</t>
        </is>
      </c>
      <c r="C78" s="4" t="inlineStr">
        <is>
          <t>Group Policy Preferences in use - drive maps, printer maps, shortcuts - which translate poorly</t>
        </is>
      </c>
      <c r="D78" s="4" t="inlineStr">
        <is>
          <t>7, 17</t>
        </is>
      </c>
      <c r="E78" s="4" t="inlineStr">
        <is>
          <t>GPO export analysis</t>
        </is>
      </c>
      <c r="F78" s="4" t="inlineStr">
        <is>
          <t>AD administrator</t>
        </is>
      </c>
      <c r="G78" s="4" t="inlineStr">
        <is>
          <t>Must</t>
        </is>
      </c>
      <c r="H78" s="4" t="inlineStr">
        <is>
          <t>W5</t>
        </is>
      </c>
      <c r="I78" s="4" t="inlineStr"/>
      <c r="J78" s="5" t="inlineStr"/>
      <c r="K78" s="5" t="inlineStr"/>
      <c r="L78" s="5" t="inlineStr">
        <is>
          <t>Open</t>
        </is>
      </c>
      <c r="M78" s="5" t="inlineStr"/>
    </row>
    <row r="79">
      <c r="A79" s="4" t="inlineStr">
        <is>
          <t>G05</t>
        </is>
      </c>
      <c r="B79" s="4" t="inlineStr">
        <is>
          <t>Existing policy</t>
        </is>
      </c>
      <c r="C79" s="4" t="inlineStr">
        <is>
          <t>Logon scripts and folder redirection in use</t>
        </is>
      </c>
      <c r="D79" s="4" t="inlineStr">
        <is>
          <t>7, 17</t>
        </is>
      </c>
      <c r="E79" s="4" t="inlineStr">
        <is>
          <t>GPO export; script share review</t>
        </is>
      </c>
      <c r="F79" s="4" t="inlineStr">
        <is>
          <t>AD administrator</t>
        </is>
      </c>
      <c r="G79" s="4" t="inlineStr">
        <is>
          <t>Must</t>
        </is>
      </c>
      <c r="H79" s="4" t="inlineStr">
        <is>
          <t>W5</t>
        </is>
      </c>
      <c r="I79" s="4" t="inlineStr"/>
      <c r="J79" s="5" t="inlineStr"/>
      <c r="K79" s="5" t="inlineStr"/>
      <c r="L79" s="5" t="inlineStr">
        <is>
          <t>Open</t>
        </is>
      </c>
      <c r="M79" s="5" t="inlineStr"/>
    </row>
    <row r="80">
      <c r="A80" s="4" t="inlineStr">
        <is>
          <t>G06</t>
        </is>
      </c>
      <c r="B80" s="4" t="inlineStr">
        <is>
          <t>Existing policy</t>
        </is>
      </c>
      <c r="C80" s="4" t="inlineStr">
        <is>
          <t>Application control posture today: AppLocker, WDAC, software restriction policies</t>
        </is>
      </c>
      <c r="D80" s="4" t="inlineStr">
        <is>
          <t>10 Security</t>
        </is>
      </c>
      <c r="E80" s="4" t="inlineStr">
        <is>
          <t>Policy export</t>
        </is>
      </c>
      <c r="F80" s="4" t="inlineStr">
        <is>
          <t>Security architect</t>
        </is>
      </c>
      <c r="G80" s="4" t="inlineStr">
        <is>
          <t>Must</t>
        </is>
      </c>
      <c r="H80" s="4" t="inlineStr">
        <is>
          <t>W3</t>
        </is>
      </c>
      <c r="I80" s="4" t="inlineStr"/>
      <c r="J80" s="5" t="inlineStr"/>
      <c r="K80" s="5" t="inlineStr"/>
      <c r="L80" s="5" t="inlineStr">
        <is>
          <t>Open</t>
        </is>
      </c>
      <c r="M80" s="5" t="inlineStr"/>
    </row>
    <row r="81">
      <c r="A81" s="4" t="inlineStr">
        <is>
          <t>G07</t>
        </is>
      </c>
      <c r="B81" s="4" t="inlineStr">
        <is>
          <t>Existing policy</t>
        </is>
      </c>
      <c r="C81" s="4" t="inlineStr">
        <is>
          <t>Security baselines applied today and every approved deviation from them</t>
        </is>
      </c>
      <c r="D81" s="4" t="inlineStr">
        <is>
          <t>10, 15</t>
        </is>
      </c>
      <c r="E81" s="4" t="inlineStr">
        <is>
          <t>Baseline documentation; GPO export</t>
        </is>
      </c>
      <c r="F81" s="4" t="inlineStr">
        <is>
          <t>Security architect</t>
        </is>
      </c>
      <c r="G81" s="4" t="inlineStr">
        <is>
          <t>Must</t>
        </is>
      </c>
      <c r="H81" s="4" t="inlineStr">
        <is>
          <t>W3</t>
        </is>
      </c>
      <c r="I81" s="4" t="inlineStr"/>
      <c r="J81" s="5" t="inlineStr"/>
      <c r="K81" s="5" t="inlineStr"/>
      <c r="L81" s="5" t="inlineStr">
        <is>
          <t>Open</t>
        </is>
      </c>
      <c r="M81" s="5" t="inlineStr"/>
    </row>
    <row r="82">
      <c r="A82" s="4" t="inlineStr">
        <is>
          <t>G08</t>
        </is>
      </c>
      <c r="B82" s="4" t="inlineStr">
        <is>
          <t>Existing policy</t>
        </is>
      </c>
      <c r="C82" s="4" t="inlineStr">
        <is>
          <t>Incumbent MDM: vendor, policy set, and the unenrolment plan - devices must leave the old MDM before enrolling</t>
        </is>
      </c>
      <c r="D82" s="4" t="inlineStr">
        <is>
          <t>19 Transition</t>
        </is>
      </c>
      <c r="E82" s="4" t="inlineStr">
        <is>
          <t>Vendor console export</t>
        </is>
      </c>
      <c r="F82" s="4" t="inlineStr">
        <is>
          <t>Endpoint team</t>
        </is>
      </c>
      <c r="G82" s="4" t="inlineStr">
        <is>
          <t>Must</t>
        </is>
      </c>
      <c r="H82" s="4" t="inlineStr">
        <is>
          <t>W5</t>
        </is>
      </c>
      <c r="I82" s="4" t="inlineStr"/>
      <c r="J82" s="5" t="inlineStr"/>
      <c r="K82" s="5" t="inlineStr"/>
      <c r="L82" s="5" t="inlineStr">
        <is>
          <t>Open</t>
        </is>
      </c>
      <c r="M82" s="5" t="inlineStr"/>
    </row>
    <row r="83">
      <c r="A83" s="4" t="inlineStr">
        <is>
          <t>G09</t>
        </is>
      </c>
      <c r="B83" s="4" t="inlineStr">
        <is>
          <t>Existing policy</t>
        </is>
      </c>
      <c r="C83" s="4" t="inlineStr">
        <is>
          <t>Imaging and OS deployment process today, including task sequences and drivers</t>
        </is>
      </c>
      <c r="D83" s="4" t="inlineStr">
        <is>
          <t>19 Transition</t>
        </is>
      </c>
      <c r="E83" s="4" t="inlineStr">
        <is>
          <t>ConfigMgr console; build documentation</t>
        </is>
      </c>
      <c r="F83" s="4" t="inlineStr">
        <is>
          <t>Endpoint team</t>
        </is>
      </c>
      <c r="G83" s="4" t="inlineStr">
        <is>
          <t>Must</t>
        </is>
      </c>
      <c r="H83" s="4" t="inlineStr">
        <is>
          <t>W5</t>
        </is>
      </c>
      <c r="I83" s="4" t="inlineStr"/>
      <c r="J83" s="5" t="inlineStr"/>
      <c r="K83" s="5" t="inlineStr"/>
      <c r="L83" s="5" t="inlineStr">
        <is>
          <t>Open</t>
        </is>
      </c>
      <c r="M83" s="5" t="inlineStr"/>
    </row>
    <row r="84">
      <c r="A84" s="6" t="inlineStr">
        <is>
          <t>G10</t>
        </is>
      </c>
      <c r="B84" s="6" t="inlineStr">
        <is>
          <t>Existing policy</t>
        </is>
      </c>
      <c r="C84" s="6" t="inlineStr">
        <is>
          <t>Scripts and remediations relied on for endpoint health</t>
        </is>
      </c>
      <c r="D84" s="6" t="inlineStr">
        <is>
          <t>13 Operations</t>
        </is>
      </c>
      <c r="E84" s="6" t="inlineStr">
        <is>
          <t>Script repository; ConfigMgr configuration items</t>
        </is>
      </c>
      <c r="F84" s="6" t="inlineStr">
        <is>
          <t>Endpoint team</t>
        </is>
      </c>
      <c r="G84" s="6" t="inlineStr">
        <is>
          <t>Should</t>
        </is>
      </c>
      <c r="H84" s="6" t="inlineStr">
        <is>
          <t>W5</t>
        </is>
      </c>
      <c r="I84" s="6" t="inlineStr">
        <is>
          <t>GOV GAP: Remediations are not available in GCC High or DoD</t>
        </is>
      </c>
      <c r="J84" s="6" t="inlineStr"/>
      <c r="K84" s="6" t="inlineStr"/>
      <c r="L84" s="6" t="inlineStr">
        <is>
          <t>Open</t>
        </is>
      </c>
      <c r="M84" s="6" t="inlineStr"/>
    </row>
    <row r="85">
      <c r="A85" s="4" t="inlineStr">
        <is>
          <t>G11</t>
        </is>
      </c>
      <c r="B85" s="4" t="inlineStr">
        <is>
          <t>Existing policy</t>
        </is>
      </c>
      <c r="C85" s="4" t="inlineStr">
        <is>
          <t>Certificate profiles in use and the infrastructure behind them (NDES, SCEP, PKCS)</t>
        </is>
      </c>
      <c r="D85" s="4" t="inlineStr">
        <is>
          <t>7, 8</t>
        </is>
      </c>
      <c r="E85" s="4" t="inlineStr">
        <is>
          <t>PKI documentation; MDM console</t>
        </is>
      </c>
      <c r="F85" s="4" t="inlineStr">
        <is>
          <t>PKI owner</t>
        </is>
      </c>
      <c r="G85" s="4" t="inlineStr">
        <is>
          <t>Must</t>
        </is>
      </c>
      <c r="H85" s="4" t="inlineStr">
        <is>
          <t>W6</t>
        </is>
      </c>
      <c r="I85" s="4" t="inlineStr"/>
      <c r="J85" s="5" t="inlineStr"/>
      <c r="K85" s="5" t="inlineStr"/>
      <c r="L85" s="5" t="inlineStr">
        <is>
          <t>Open</t>
        </is>
      </c>
      <c r="M85" s="5" t="inlineStr"/>
    </row>
    <row r="86">
      <c r="A86" s="4" t="inlineStr">
        <is>
          <t>G12</t>
        </is>
      </c>
      <c r="B86" s="4" t="inlineStr">
        <is>
          <t>Existing policy</t>
        </is>
      </c>
      <c r="C86" s="4" t="inlineStr">
        <is>
          <t>If an Intune tenant already exists, a full export of its current configuration</t>
        </is>
      </c>
      <c r="D86" s="4" t="inlineStr">
        <is>
          <t>7</t>
        </is>
      </c>
      <c r="E86" s="4" t="inlineStr">
        <is>
          <t>IntuneCD, IntuneManagement or a Graph export - see Tooling tab</t>
        </is>
      </c>
      <c r="F86" s="4" t="inlineStr">
        <is>
          <t>Endpoint team</t>
        </is>
      </c>
      <c r="G86" s="4" t="inlineStr">
        <is>
          <t>Must</t>
        </is>
      </c>
      <c r="H86" s="4" t="inlineStr">
        <is>
          <t>W5</t>
        </is>
      </c>
      <c r="I86" s="4" t="inlineStr"/>
      <c r="J86" s="5" t="inlineStr"/>
      <c r="K86" s="5" t="inlineStr"/>
      <c r="L86" s="5" t="inlineStr">
        <is>
          <t>Open</t>
        </is>
      </c>
      <c r="M86" s="5" t="inlineStr"/>
    </row>
    <row r="87">
      <c r="A87" s="4" t="inlineStr">
        <is>
          <t>H01</t>
        </is>
      </c>
      <c r="B87" s="4" t="inlineStr">
        <is>
          <t>Applications</t>
        </is>
      </c>
      <c r="C87" s="4" t="inlineStr">
        <is>
          <t>Complete application inventory with deployment counts and last-used data</t>
        </is>
      </c>
      <c r="D87" s="4" t="inlineStr">
        <is>
          <t>7 Logical components</t>
        </is>
      </c>
      <c r="E87" s="4" t="inlineStr">
        <is>
          <t>ConfigMgr SQL views and SSRS reports (System Center Dudes method); Intune app reports</t>
        </is>
      </c>
      <c r="F87" s="4" t="inlineStr">
        <is>
          <t>Application owner</t>
        </is>
      </c>
      <c r="G87" s="4" t="inlineStr">
        <is>
          <t>Must</t>
        </is>
      </c>
      <c r="H87" s="4" t="inlineStr">
        <is>
          <t>W4</t>
        </is>
      </c>
      <c r="I87" s="4" t="inlineStr"/>
      <c r="J87" s="5" t="inlineStr"/>
      <c r="K87" s="5" t="inlineStr"/>
      <c r="L87" s="5" t="inlineStr">
        <is>
          <t>Open</t>
        </is>
      </c>
      <c r="M87" s="5" t="inlineStr"/>
    </row>
    <row r="88">
      <c r="A88" s="4" t="inlineStr">
        <is>
          <t>H02</t>
        </is>
      </c>
      <c r="B88" s="4" t="inlineStr">
        <is>
          <t>Applications</t>
        </is>
      </c>
      <c r="C88" s="4" t="inlineStr">
        <is>
          <t>Business owner, criticality and user count for each application</t>
        </is>
      </c>
      <c r="D88" s="4" t="inlineStr">
        <is>
          <t>4, 7</t>
        </is>
      </c>
      <c r="E88" s="4" t="inlineStr">
        <is>
          <t>Application owner interviews</t>
        </is>
      </c>
      <c r="F88" s="4" t="inlineStr">
        <is>
          <t>Application owner</t>
        </is>
      </c>
      <c r="G88" s="4" t="inlineStr">
        <is>
          <t>Must</t>
        </is>
      </c>
      <c r="H88" s="4" t="inlineStr">
        <is>
          <t>W4</t>
        </is>
      </c>
      <c r="I88" s="4" t="inlineStr"/>
      <c r="J88" s="5" t="inlineStr"/>
      <c r="K88" s="5" t="inlineStr"/>
      <c r="L88" s="5" t="inlineStr">
        <is>
          <t>Open</t>
        </is>
      </c>
      <c r="M88" s="5" t="inlineStr"/>
    </row>
    <row r="89">
      <c r="A89" s="4" t="inlineStr">
        <is>
          <t>H03</t>
        </is>
      </c>
      <c r="B89" s="4" t="inlineStr">
        <is>
          <t>Applications</t>
        </is>
      </c>
      <c r="C89" s="4" t="inlineStr">
        <is>
          <t>Packaging format of each application: MSI, EXE, MSIX, Store, Win32, LOB</t>
        </is>
      </c>
      <c r="D89" s="4" t="inlineStr">
        <is>
          <t>7</t>
        </is>
      </c>
      <c r="E89" s="4" t="inlineStr">
        <is>
          <t>Inventory analysis</t>
        </is>
      </c>
      <c r="F89" s="4" t="inlineStr">
        <is>
          <t>Packaging team</t>
        </is>
      </c>
      <c r="G89" s="4" t="inlineStr">
        <is>
          <t>Must</t>
        </is>
      </c>
      <c r="H89" s="4" t="inlineStr">
        <is>
          <t>W4</t>
        </is>
      </c>
      <c r="I89" s="4" t="inlineStr"/>
      <c r="J89" s="5" t="inlineStr"/>
      <c r="K89" s="5" t="inlineStr"/>
      <c r="L89" s="5" t="inlineStr">
        <is>
          <t>Open</t>
        </is>
      </c>
      <c r="M89" s="5" t="inlineStr"/>
    </row>
    <row r="90">
      <c r="A90" s="4" t="inlineStr">
        <is>
          <t>H04</t>
        </is>
      </c>
      <c r="B90" s="4" t="inlineStr">
        <is>
          <t>Applications</t>
        </is>
      </c>
      <c r="C90" s="4" t="inlineStr">
        <is>
          <t>Applications with dependencies, supersedence chains, or that only install inside a task sequence</t>
        </is>
      </c>
      <c r="D90" s="4" t="inlineStr">
        <is>
          <t>7, 19</t>
        </is>
      </c>
      <c r="E90" s="4" t="inlineStr">
        <is>
          <t>ConfigMgr dependency report</t>
        </is>
      </c>
      <c r="F90" s="4" t="inlineStr">
        <is>
          <t>Packaging team</t>
        </is>
      </c>
      <c r="G90" s="4" t="inlineStr">
        <is>
          <t>Must</t>
        </is>
      </c>
      <c r="H90" s="4" t="inlineStr">
        <is>
          <t>W4</t>
        </is>
      </c>
      <c r="I90" s="4" t="inlineStr"/>
      <c r="J90" s="5" t="inlineStr"/>
      <c r="K90" s="5" t="inlineStr"/>
      <c r="L90" s="5" t="inlineStr">
        <is>
          <t>Open</t>
        </is>
      </c>
      <c r="M90" s="5" t="inlineStr"/>
    </row>
    <row r="91">
      <c r="A91" s="4" t="inlineStr">
        <is>
          <t>H05</t>
        </is>
      </c>
      <c r="B91" s="4" t="inlineStr">
        <is>
          <t>Applications</t>
        </is>
      </c>
      <c r="C91" s="4" t="inlineStr">
        <is>
          <t>Applications that require administrative rights at run time</t>
        </is>
      </c>
      <c r="D91" s="4" t="inlineStr">
        <is>
          <t>10</t>
        </is>
      </c>
      <c r="E91" s="4" t="inlineStr">
        <is>
          <t>Packaging review; elevation audit data</t>
        </is>
      </c>
      <c r="F91" s="4" t="inlineStr">
        <is>
          <t>Packaging team</t>
        </is>
      </c>
      <c r="G91" s="4" t="inlineStr">
        <is>
          <t>Must</t>
        </is>
      </c>
      <c r="H91" s="4" t="inlineStr">
        <is>
          <t>W4</t>
        </is>
      </c>
      <c r="I91" s="4" t="inlineStr"/>
      <c r="J91" s="5" t="inlineStr"/>
      <c r="K91" s="5" t="inlineStr"/>
      <c r="L91" s="5" t="inlineStr">
        <is>
          <t>Open</t>
        </is>
      </c>
      <c r="M91" s="5" t="inlineStr"/>
    </row>
    <row r="92">
      <c r="A92" s="4" t="inlineStr">
        <is>
          <t>H06</t>
        </is>
      </c>
      <c r="B92" s="4" t="inlineStr">
        <is>
          <t>Applications</t>
        </is>
      </c>
      <c r="C92" s="4" t="inlineStr">
        <is>
          <t>Licence-restricted applications and their activation or entitlement method</t>
        </is>
      </c>
      <c r="D92" s="4" t="inlineStr">
        <is>
          <t>18</t>
        </is>
      </c>
      <c r="E92" s="4" t="inlineStr">
        <is>
          <t>Licence register</t>
        </is>
      </c>
      <c r="F92" s="4" t="inlineStr">
        <is>
          <t>Licensing manager</t>
        </is>
      </c>
      <c r="G92" s="4" t="inlineStr">
        <is>
          <t>Should</t>
        </is>
      </c>
      <c r="H92" s="4" t="inlineStr">
        <is>
          <t>W4</t>
        </is>
      </c>
      <c r="I92" s="4" t="inlineStr"/>
      <c r="J92" s="5" t="inlineStr"/>
      <c r="K92" s="5" t="inlineStr"/>
      <c r="L92" s="5" t="inlineStr">
        <is>
          <t>Open</t>
        </is>
      </c>
      <c r="M92" s="5" t="inlineStr"/>
    </row>
    <row r="93">
      <c r="A93" s="4" t="inlineStr">
        <is>
          <t>H07</t>
        </is>
      </c>
      <c r="B93" s="4" t="inlineStr">
        <is>
          <t>Applications</t>
        </is>
      </c>
      <c r="C93" s="4" t="inlineStr">
        <is>
          <t>Mobile application estate: Apple VPP tokens, managed Google Play, line-of-business apps and their source files</t>
        </is>
      </c>
      <c r="D93" s="4" t="inlineStr">
        <is>
          <t>7, 8</t>
        </is>
      </c>
      <c r="E93" s="4" t="inlineStr">
        <is>
          <t>MDM console; ABM and Play console</t>
        </is>
      </c>
      <c r="F93" s="4" t="inlineStr">
        <is>
          <t>Endpoint team</t>
        </is>
      </c>
      <c r="G93" s="4" t="inlineStr">
        <is>
          <t>Must</t>
        </is>
      </c>
      <c r="H93" s="4" t="inlineStr">
        <is>
          <t>W4</t>
        </is>
      </c>
      <c r="I93" s="4" t="inlineStr"/>
      <c r="J93" s="5" t="inlineStr"/>
      <c r="K93" s="5" t="inlineStr"/>
      <c r="L93" s="5" t="inlineStr">
        <is>
          <t>Open</t>
        </is>
      </c>
      <c r="M93" s="5" t="inlineStr"/>
    </row>
    <row r="94">
      <c r="A94" s="4" t="inlineStr">
        <is>
          <t>H08</t>
        </is>
      </c>
      <c r="B94" s="4" t="inlineStr">
        <is>
          <t>Applications</t>
        </is>
      </c>
      <c r="C94" s="4" t="inlineStr">
        <is>
          <t>Applications that only need protecting on unmanaged devices, rather than deploying</t>
        </is>
      </c>
      <c r="D94" s="4" t="inlineStr">
        <is>
          <t>7 ADR-004</t>
        </is>
      </c>
      <c r="E94" s="4" t="inlineStr">
        <is>
          <t>Workshop with app owners</t>
        </is>
      </c>
      <c r="F94" s="4" t="inlineStr">
        <is>
          <t>Security architect</t>
        </is>
      </c>
      <c r="G94" s="4" t="inlineStr">
        <is>
          <t>Should</t>
        </is>
      </c>
      <c r="H94" s="4" t="inlineStr">
        <is>
          <t>W4</t>
        </is>
      </c>
      <c r="I94" s="4" t="inlineStr"/>
      <c r="J94" s="5" t="inlineStr"/>
      <c r="K94" s="5" t="inlineStr"/>
      <c r="L94" s="5" t="inlineStr">
        <is>
          <t>Open</t>
        </is>
      </c>
      <c r="M94" s="5" t="inlineStr"/>
    </row>
    <row r="95">
      <c r="A95" s="4" t="inlineStr">
        <is>
          <t>H09</t>
        </is>
      </c>
      <c r="B95" s="4" t="inlineStr">
        <is>
          <t>Applications</t>
        </is>
      </c>
      <c r="C95" s="4" t="inlineStr">
        <is>
          <t>Web applications and browser dependencies, including any legacy compatibility mode needs</t>
        </is>
      </c>
      <c r="D95" s="4" t="inlineStr">
        <is>
          <t>7, 8</t>
        </is>
      </c>
      <c r="E95" s="4" t="inlineStr">
        <is>
          <t>Browser inventory; app owner interviews</t>
        </is>
      </c>
      <c r="F95" s="4" t="inlineStr">
        <is>
          <t>Application owner</t>
        </is>
      </c>
      <c r="G95" s="4" t="inlineStr">
        <is>
          <t>Must</t>
        </is>
      </c>
      <c r="H95" s="4" t="inlineStr">
        <is>
          <t>W4</t>
        </is>
      </c>
      <c r="I95" s="4" t="inlineStr"/>
      <c r="J95" s="5" t="inlineStr"/>
      <c r="K95" s="5" t="inlineStr"/>
      <c r="L95" s="5" t="inlineStr">
        <is>
          <t>Open</t>
        </is>
      </c>
      <c r="M95" s="5" t="inlineStr"/>
    </row>
    <row r="96">
      <c r="A96" s="4" t="inlineStr">
        <is>
          <t>H10</t>
        </is>
      </c>
      <c r="B96" s="4" t="inlineStr">
        <is>
          <t>Applications</t>
        </is>
      </c>
      <c r="C96" s="4" t="inlineStr">
        <is>
          <t>Rationalisation candidates: applications with no installs or launches in 90 days</t>
        </is>
      </c>
      <c r="D96" s="4" t="inlineStr">
        <is>
          <t>7, 18</t>
        </is>
      </c>
      <c r="E96" s="4" t="inlineStr">
        <is>
          <t>Inventory analysis</t>
        </is>
      </c>
      <c r="F96" s="4" t="inlineStr">
        <is>
          <t>Application owner</t>
        </is>
      </c>
      <c r="G96" s="4" t="inlineStr">
        <is>
          <t>Should</t>
        </is>
      </c>
      <c r="H96" s="4" t="inlineStr">
        <is>
          <t>W4</t>
        </is>
      </c>
      <c r="I96" s="4" t="inlineStr"/>
      <c r="J96" s="5" t="inlineStr"/>
      <c r="K96" s="5" t="inlineStr"/>
      <c r="L96" s="5" t="inlineStr">
        <is>
          <t>Open</t>
        </is>
      </c>
      <c r="M96" s="5" t="inlineStr"/>
    </row>
    <row r="97">
      <c r="A97" s="4" t="inlineStr">
        <is>
          <t>H11</t>
        </is>
      </c>
      <c r="B97" s="4" t="inlineStr">
        <is>
          <t>Applications</t>
        </is>
      </c>
      <c r="C97" s="4" t="inlineStr">
        <is>
          <t>Who patches each application today, and on what cadence?</t>
        </is>
      </c>
      <c r="D97" s="4" t="inlineStr">
        <is>
          <t>7, 12</t>
        </is>
      </c>
      <c r="E97" s="4" t="inlineStr">
        <is>
          <t>Interview; patching reports</t>
        </is>
      </c>
      <c r="F97" s="4" t="inlineStr">
        <is>
          <t>Packaging team</t>
        </is>
      </c>
      <c r="G97" s="4" t="inlineStr">
        <is>
          <t>Must</t>
        </is>
      </c>
      <c r="H97" s="4" t="inlineStr">
        <is>
          <t>W4</t>
        </is>
      </c>
      <c r="I97" s="4" t="inlineStr"/>
      <c r="J97" s="5" t="inlineStr"/>
      <c r="K97" s="5" t="inlineStr"/>
      <c r="L97" s="5" t="inlineStr">
        <is>
          <t>Open</t>
        </is>
      </c>
      <c r="M97" s="5" t="inlineStr"/>
    </row>
    <row r="98">
      <c r="A98" s="4" t="inlineStr">
        <is>
          <t>H12</t>
        </is>
      </c>
      <c r="B98" s="4" t="inlineStr">
        <is>
          <t>Applications</t>
        </is>
      </c>
      <c r="C98" s="4" t="inlineStr">
        <is>
          <t>Repackaging effort estimate per application band, and who will do the work</t>
        </is>
      </c>
      <c r="D98" s="4" t="inlineStr">
        <is>
          <t>18, 19</t>
        </is>
      </c>
      <c r="E98" s="4" t="inlineStr">
        <is>
          <t>Packaging team estimate</t>
        </is>
      </c>
      <c r="F98" s="4" t="inlineStr">
        <is>
          <t>Packaging team</t>
        </is>
      </c>
      <c r="G98" s="4" t="inlineStr">
        <is>
          <t>Must</t>
        </is>
      </c>
      <c r="H98" s="4" t="inlineStr">
        <is>
          <t>W4</t>
        </is>
      </c>
      <c r="I98" s="4" t="inlineStr"/>
      <c r="J98" s="5" t="inlineStr"/>
      <c r="K98" s="5" t="inlineStr"/>
      <c r="L98" s="5" t="inlineStr">
        <is>
          <t>Open</t>
        </is>
      </c>
      <c r="M98" s="5" t="inlineStr"/>
    </row>
    <row r="99">
      <c r="A99" s="4" t="inlineStr">
        <is>
          <t>I01</t>
        </is>
      </c>
      <c r="B99" s="4" t="inlineStr">
        <is>
          <t>Updates</t>
        </is>
      </c>
      <c r="C99" s="4" t="inlineStr">
        <is>
          <t>Current patch process, rings, SLAs and compliance reporting</t>
        </is>
      </c>
      <c r="D99" s="4" t="inlineStr">
        <is>
          <t>12, 13</t>
        </is>
      </c>
      <c r="E99" s="4" t="inlineStr">
        <is>
          <t>Patch policy; current reports</t>
        </is>
      </c>
      <c r="F99" s="4" t="inlineStr">
        <is>
          <t>Endpoint team</t>
        </is>
      </c>
      <c r="G99" s="4" t="inlineStr">
        <is>
          <t>Must</t>
        </is>
      </c>
      <c r="H99" s="4" t="inlineStr">
        <is>
          <t>W5</t>
        </is>
      </c>
      <c r="I99" s="4" t="inlineStr"/>
      <c r="J99" s="5" t="inlineStr"/>
      <c r="K99" s="5" t="inlineStr"/>
      <c r="L99" s="5" t="inlineStr">
        <is>
          <t>Open</t>
        </is>
      </c>
      <c r="M99" s="5" t="inlineStr"/>
    </row>
    <row r="100">
      <c r="A100" s="4" t="inlineStr">
        <is>
          <t>I02</t>
        </is>
      </c>
      <c r="B100" s="4" t="inlineStr">
        <is>
          <t>Updates</t>
        </is>
      </c>
      <c r="C100" s="4" t="inlineStr">
        <is>
          <t>Windows servicing baseline: feature update cadence, deferrals, target build</t>
        </is>
      </c>
      <c r="D100" s="4" t="inlineStr">
        <is>
          <t>11</t>
        </is>
      </c>
      <c r="E100" s="4" t="inlineStr">
        <is>
          <t>Current policy export</t>
        </is>
      </c>
      <c r="F100" s="4" t="inlineStr">
        <is>
          <t>Endpoint team</t>
        </is>
      </c>
      <c r="G100" s="4" t="inlineStr">
        <is>
          <t>Must</t>
        </is>
      </c>
      <c r="H100" s="4" t="inlineStr">
        <is>
          <t>W5</t>
        </is>
      </c>
      <c r="I100" s="4" t="inlineStr"/>
      <c r="J100" s="5" t="inlineStr"/>
      <c r="K100" s="5" t="inlineStr"/>
      <c r="L100" s="5" t="inlineStr">
        <is>
          <t>Open</t>
        </is>
      </c>
      <c r="M100" s="5" t="inlineStr"/>
    </row>
    <row r="101">
      <c r="A101" s="4" t="inlineStr">
        <is>
          <t>I03</t>
        </is>
      </c>
      <c r="B101" s="4" t="inlineStr">
        <is>
          <t>Updates</t>
        </is>
      </c>
      <c r="C101" s="4" t="inlineStr">
        <is>
          <t>Third-party application patching tool and its coverage</t>
        </is>
      </c>
      <c r="D101" s="4" t="inlineStr">
        <is>
          <t>7</t>
        </is>
      </c>
      <c r="E101" s="4" t="inlineStr">
        <is>
          <t>Tool console</t>
        </is>
      </c>
      <c r="F101" s="4" t="inlineStr">
        <is>
          <t>Endpoint team</t>
        </is>
      </c>
      <c r="G101" s="4" t="inlineStr">
        <is>
          <t>Should</t>
        </is>
      </c>
      <c r="H101" s="4" t="inlineStr">
        <is>
          <t>W5</t>
        </is>
      </c>
      <c r="I101" s="4" t="inlineStr"/>
      <c r="J101" s="5" t="inlineStr"/>
      <c r="K101" s="5" t="inlineStr"/>
      <c r="L101" s="5" t="inlineStr">
        <is>
          <t>Open</t>
        </is>
      </c>
      <c r="M101" s="5" t="inlineStr"/>
    </row>
    <row r="102">
      <c r="A102" s="4" t="inlineStr">
        <is>
          <t>I04</t>
        </is>
      </c>
      <c r="B102" s="4" t="inlineStr">
        <is>
          <t>Updates</t>
        </is>
      </c>
      <c r="C102" s="4" t="inlineStr">
        <is>
          <t>Driver and firmware update process and vendor tooling</t>
        </is>
      </c>
      <c r="D102" s="4" t="inlineStr">
        <is>
          <t>7, 11</t>
        </is>
      </c>
      <c r="E102" s="4" t="inlineStr">
        <is>
          <t>Vendor tooling; current process</t>
        </is>
      </c>
      <c r="F102" s="4" t="inlineStr">
        <is>
          <t>Endpoint team</t>
        </is>
      </c>
      <c r="G102" s="4" t="inlineStr">
        <is>
          <t>Should</t>
        </is>
      </c>
      <c r="H102" s="4" t="inlineStr">
        <is>
          <t>W5</t>
        </is>
      </c>
      <c r="I102" s="4" t="inlineStr"/>
      <c r="J102" s="5" t="inlineStr"/>
      <c r="K102" s="5" t="inlineStr"/>
      <c r="L102" s="5" t="inlineStr">
        <is>
          <t>Open</t>
        </is>
      </c>
      <c r="M102" s="5" t="inlineStr"/>
    </row>
    <row r="103">
      <c r="A103" s="4" t="inlineStr">
        <is>
          <t>I05</t>
        </is>
      </c>
      <c r="B103" s="4" t="inlineStr">
        <is>
          <t>Updates</t>
        </is>
      </c>
      <c r="C103" s="4" t="inlineStr">
        <is>
          <t>Patch timelines mandated by the applicable framework (Essential Eight, CAF, STIG, agency policy)</t>
        </is>
      </c>
      <c r="D103" s="4" t="inlineStr">
        <is>
          <t>15 Compliance</t>
        </is>
      </c>
      <c r="E103" s="4" t="inlineStr">
        <is>
          <t>Security policy; regulator guidance</t>
        </is>
      </c>
      <c r="F103" s="4" t="inlineStr">
        <is>
          <t>Security architect</t>
        </is>
      </c>
      <c r="G103" s="4" t="inlineStr">
        <is>
          <t>Must</t>
        </is>
      </c>
      <c r="H103" s="4" t="inlineStr">
        <is>
          <t>W7</t>
        </is>
      </c>
      <c r="I103" s="4" t="inlineStr"/>
      <c r="J103" s="5" t="inlineStr"/>
      <c r="K103" s="5" t="inlineStr"/>
      <c r="L103" s="5" t="inlineStr">
        <is>
          <t>Open</t>
        </is>
      </c>
      <c r="M103" s="5" t="inlineStr"/>
    </row>
    <row r="104">
      <c r="A104" s="6" t="inlineStr">
        <is>
          <t>I06</t>
        </is>
      </c>
      <c r="B104" s="6" t="inlineStr">
        <is>
          <t>Updates</t>
        </is>
      </c>
      <c r="C104" s="6" t="inlineStr">
        <is>
          <t>Confirm which update capabilities exist in the target cloud before designing the update approach</t>
        </is>
      </c>
      <c r="D104" s="6" t="inlineStr">
        <is>
          <t>11, 15</t>
        </is>
      </c>
      <c r="E104" s="6" t="inlineStr">
        <is>
          <t>Microsoft Intune government service description</t>
        </is>
      </c>
      <c r="F104" s="6" t="inlineStr">
        <is>
          <t>Endpoint team</t>
        </is>
      </c>
      <c r="G104" s="6" t="inlineStr">
        <is>
          <t>Must</t>
        </is>
      </c>
      <c r="H104" s="6" t="inlineStr">
        <is>
          <t>W7</t>
        </is>
      </c>
      <c r="I104" s="6" t="inlineStr">
        <is>
          <t>GOV GAP: Windows Autopatch and the feature, quality, expedite and driver update policies are not available in GCC High or DoD (planned)</t>
        </is>
      </c>
      <c r="J104" s="6" t="inlineStr"/>
      <c r="K104" s="6" t="inlineStr"/>
      <c r="L104" s="6" t="inlineStr">
        <is>
          <t>Open</t>
        </is>
      </c>
      <c r="M104" s="6" t="inlineStr"/>
    </row>
    <row r="105">
      <c r="A105" s="4" t="inlineStr">
        <is>
          <t>I07</t>
        </is>
      </c>
      <c r="B105" s="4" t="inlineStr">
        <is>
          <t>Updates</t>
        </is>
      </c>
      <c r="C105" s="4" t="inlineStr">
        <is>
          <t>Maintenance windows, change freezes and peak periods that constrain updates</t>
        </is>
      </c>
      <c r="D105" s="4" t="inlineStr">
        <is>
          <t>14</t>
        </is>
      </c>
      <c r="E105" s="4" t="inlineStr">
        <is>
          <t>Change calendar</t>
        </is>
      </c>
      <c r="F105" s="4" t="inlineStr">
        <is>
          <t>Change manager</t>
        </is>
      </c>
      <c r="G105" s="4" t="inlineStr">
        <is>
          <t>Must</t>
        </is>
      </c>
      <c r="H105" s="4" t="inlineStr">
        <is>
          <t>W8</t>
        </is>
      </c>
      <c r="I105" s="4" t="inlineStr"/>
      <c r="J105" s="5" t="inlineStr"/>
      <c r="K105" s="5" t="inlineStr"/>
      <c r="L105" s="5" t="inlineStr">
        <is>
          <t>Open</t>
        </is>
      </c>
      <c r="M105" s="5" t="inlineStr"/>
    </row>
    <row r="106">
      <c r="A106" s="6" t="inlineStr">
        <is>
          <t>I08</t>
        </is>
      </c>
      <c r="B106" s="6" t="inlineStr">
        <is>
          <t>Updates</t>
        </is>
      </c>
      <c r="C106" s="6" t="inlineStr">
        <is>
          <t>Content delivery and bandwidth optimisation used today</t>
        </is>
      </c>
      <c r="D106" s="6" t="inlineStr">
        <is>
          <t>11</t>
        </is>
      </c>
      <c r="E106" s="6" t="inlineStr">
        <is>
          <t>Network team; ConfigMgr DP report</t>
        </is>
      </c>
      <c r="F106" s="6" t="inlineStr">
        <is>
          <t>Network lead</t>
        </is>
      </c>
      <c r="G106" s="6" t="inlineStr">
        <is>
          <t>Should</t>
        </is>
      </c>
      <c r="H106" s="6" t="inlineStr">
        <is>
          <t>W6</t>
        </is>
      </c>
      <c r="I106" s="6" t="inlineStr">
        <is>
          <t>GOV GAP: Microsoft Connected Cache for Enterprise and Delivery Optimization for Win32 apps are not available in GCC High or DoD</t>
        </is>
      </c>
      <c r="J106" s="6" t="inlineStr"/>
      <c r="K106" s="6" t="inlineStr"/>
      <c r="L106" s="6" t="inlineStr">
        <is>
          <t>Open</t>
        </is>
      </c>
      <c r="M106" s="6" t="inlineStr"/>
    </row>
    <row r="107">
      <c r="A107" s="4" t="inlineStr">
        <is>
          <t>J01</t>
        </is>
      </c>
      <c r="B107" s="4" t="inlineStr">
        <is>
          <t>Security</t>
        </is>
      </c>
      <c r="C107" s="4" t="inlineStr">
        <is>
          <t>Endpoint detection and response tool in place, its coverage and onboarding method</t>
        </is>
      </c>
      <c r="D107" s="4" t="inlineStr">
        <is>
          <t>10 Security</t>
        </is>
      </c>
      <c r="E107" s="4" t="inlineStr">
        <is>
          <t>Defender or third-party console export</t>
        </is>
      </c>
      <c r="F107" s="4" t="inlineStr">
        <is>
          <t>Security operations</t>
        </is>
      </c>
      <c r="G107" s="4" t="inlineStr">
        <is>
          <t>Must</t>
        </is>
      </c>
      <c r="H107" s="4" t="inlineStr">
        <is>
          <t>W3</t>
        </is>
      </c>
      <c r="I107" s="4" t="inlineStr"/>
      <c r="J107" s="5" t="inlineStr"/>
      <c r="K107" s="5" t="inlineStr"/>
      <c r="L107" s="5" t="inlineStr">
        <is>
          <t>Open</t>
        </is>
      </c>
      <c r="M107" s="5" t="inlineStr"/>
    </row>
    <row r="108">
      <c r="A108" s="4" t="inlineStr">
        <is>
          <t>J02</t>
        </is>
      </c>
      <c r="B108" s="4" t="inlineStr">
        <is>
          <t>Security</t>
        </is>
      </c>
      <c r="C108" s="4" t="inlineStr">
        <is>
          <t>Disk encryption state by platform and where recovery keys are escrowed today</t>
        </is>
      </c>
      <c r="D108" s="4" t="inlineStr">
        <is>
          <t>9, 10</t>
        </is>
      </c>
      <c r="E108" s="4" t="inlineStr">
        <is>
          <t>Current encryption reporting</t>
        </is>
      </c>
      <c r="F108" s="4" t="inlineStr">
        <is>
          <t>Security architect</t>
        </is>
      </c>
      <c r="G108" s="4" t="inlineStr">
        <is>
          <t>Must</t>
        </is>
      </c>
      <c r="H108" s="4" t="inlineStr">
        <is>
          <t>W3</t>
        </is>
      </c>
      <c r="I108" s="4" t="inlineStr"/>
      <c r="J108" s="5" t="inlineStr"/>
      <c r="K108" s="5" t="inlineStr"/>
      <c r="L108" s="5" t="inlineStr">
        <is>
          <t>Open</t>
        </is>
      </c>
      <c r="M108" s="5" t="inlineStr"/>
    </row>
    <row r="109">
      <c r="A109" s="4" t="inlineStr">
        <is>
          <t>J03</t>
        </is>
      </c>
      <c r="B109" s="4" t="inlineStr">
        <is>
          <t>Security</t>
        </is>
      </c>
      <c r="C109" s="4" t="inlineStr">
        <is>
          <t>How many users hold local administrator rights, and what do they actually use them for?</t>
        </is>
      </c>
      <c r="D109" s="4" t="inlineStr">
        <is>
          <t>10</t>
        </is>
      </c>
      <c r="E109" s="4" t="inlineStr">
        <is>
          <t>Elevation audit in reporting-only mode for 2-4 weeks; AD local admin group audit</t>
        </is>
      </c>
      <c r="F109" s="4" t="inlineStr">
        <is>
          <t>Security architect</t>
        </is>
      </c>
      <c r="G109" s="4" t="inlineStr">
        <is>
          <t>Must</t>
        </is>
      </c>
      <c r="H109" s="4" t="inlineStr">
        <is>
          <t>W3</t>
        </is>
      </c>
      <c r="I109" s="4" t="inlineStr"/>
      <c r="J109" s="5" t="inlineStr"/>
      <c r="K109" s="5" t="inlineStr"/>
      <c r="L109" s="5" t="inlineStr">
        <is>
          <t>Open</t>
        </is>
      </c>
      <c r="M109" s="5" t="inlineStr"/>
    </row>
    <row r="110">
      <c r="A110" s="4" t="inlineStr">
        <is>
          <t>J04</t>
        </is>
      </c>
      <c r="B110" s="4" t="inlineStr">
        <is>
          <t>Security</t>
        </is>
      </c>
      <c r="C110" s="4" t="inlineStr">
        <is>
          <t>Is a local administrator password solution in use, and where are passwords escrowed?</t>
        </is>
      </c>
      <c r="D110" s="4" t="inlineStr">
        <is>
          <t>10</t>
        </is>
      </c>
      <c r="E110" s="4" t="inlineStr">
        <is>
          <t>Current LAPS configuration</t>
        </is>
      </c>
      <c r="F110" s="4" t="inlineStr">
        <is>
          <t>Security architect</t>
        </is>
      </c>
      <c r="G110" s="4" t="inlineStr">
        <is>
          <t>Must</t>
        </is>
      </c>
      <c r="H110" s="4" t="inlineStr">
        <is>
          <t>W3</t>
        </is>
      </c>
      <c r="I110" s="4" t="inlineStr"/>
      <c r="J110" s="5" t="inlineStr"/>
      <c r="K110" s="5" t="inlineStr"/>
      <c r="L110" s="5" t="inlineStr">
        <is>
          <t>Open</t>
        </is>
      </c>
      <c r="M110" s="5" t="inlineStr"/>
    </row>
    <row r="111">
      <c r="A111" s="4" t="inlineStr">
        <is>
          <t>J05</t>
        </is>
      </c>
      <c r="B111" s="4" t="inlineStr">
        <is>
          <t>Security</t>
        </is>
      </c>
      <c r="C111" s="4" t="inlineStr">
        <is>
          <t>Anti-malware, attack surface reduction and exploit protection posture today</t>
        </is>
      </c>
      <c r="D111" s="4" t="inlineStr">
        <is>
          <t>10</t>
        </is>
      </c>
      <c r="E111" s="4" t="inlineStr">
        <is>
          <t>Defender configuration export</t>
        </is>
      </c>
      <c r="F111" s="4" t="inlineStr">
        <is>
          <t>Security operations</t>
        </is>
      </c>
      <c r="G111" s="4" t="inlineStr">
        <is>
          <t>Must</t>
        </is>
      </c>
      <c r="H111" s="4" t="inlineStr">
        <is>
          <t>W3</t>
        </is>
      </c>
      <c r="I111" s="4" t="inlineStr"/>
      <c r="J111" s="5" t="inlineStr"/>
      <c r="K111" s="5" t="inlineStr"/>
      <c r="L111" s="5" t="inlineStr">
        <is>
          <t>Open</t>
        </is>
      </c>
      <c r="M111" s="5" t="inlineStr"/>
    </row>
    <row r="112">
      <c r="A112" s="4" t="inlineStr">
        <is>
          <t>J06</t>
        </is>
      </c>
      <c r="B112" s="4" t="inlineStr">
        <is>
          <t>Security</t>
        </is>
      </c>
      <c r="C112" s="4" t="inlineStr">
        <is>
          <t>Mobile threat defence product in use, and whether it supports the target government cloud</t>
        </is>
      </c>
      <c r="D112" s="4" t="inlineStr">
        <is>
          <t>10</t>
        </is>
      </c>
      <c r="E112" s="4" t="inlineStr">
        <is>
          <t>Vendor confirmation; Intune connector list in the target tenant</t>
        </is>
      </c>
      <c r="F112" s="4" t="inlineStr">
        <is>
          <t>Security architect</t>
        </is>
      </c>
      <c r="G112" s="4" t="inlineStr">
        <is>
          <t>Must</t>
        </is>
      </c>
      <c r="H112" s="4" t="inlineStr">
        <is>
          <t>W7</t>
        </is>
      </c>
      <c r="I112" s="4" t="inlineStr"/>
      <c r="J112" s="5" t="inlineStr"/>
      <c r="K112" s="5" t="inlineStr"/>
      <c r="L112" s="5" t="inlineStr">
        <is>
          <t>Open</t>
        </is>
      </c>
      <c r="M112" s="5" t="inlineStr"/>
    </row>
    <row r="113">
      <c r="A113" s="4" t="inlineStr">
        <is>
          <t>J07</t>
        </is>
      </c>
      <c r="B113" s="4" t="inlineStr">
        <is>
          <t>Security</t>
        </is>
      </c>
      <c r="C113" s="4" t="inlineStr">
        <is>
          <t>SIEM platform, required log sources and retention period for endpoint logs</t>
        </is>
      </c>
      <c r="D113" s="4" t="inlineStr">
        <is>
          <t>10, 13</t>
        </is>
      </c>
      <c r="E113" s="4" t="inlineStr">
        <is>
          <t>Security operations</t>
        </is>
      </c>
      <c r="F113" s="4" t="inlineStr">
        <is>
          <t>Security operations</t>
        </is>
      </c>
      <c r="G113" s="4" t="inlineStr">
        <is>
          <t>Must</t>
        </is>
      </c>
      <c r="H113" s="4" t="inlineStr">
        <is>
          <t>W3</t>
        </is>
      </c>
      <c r="I113" s="4" t="inlineStr"/>
      <c r="J113" s="5" t="inlineStr"/>
      <c r="K113" s="5" t="inlineStr"/>
      <c r="L113" s="5" t="inlineStr">
        <is>
          <t>Open</t>
        </is>
      </c>
      <c r="M113" s="5" t="inlineStr"/>
    </row>
    <row r="114">
      <c r="A114" s="4" t="inlineStr">
        <is>
          <t>J08</t>
        </is>
      </c>
      <c r="B114" s="4" t="inlineStr">
        <is>
          <t>Security</t>
        </is>
      </c>
      <c r="C114" s="4" t="inlineStr">
        <is>
          <t>Which configuration baseline must the design meet: CIS level, DISA STIG, NCSC device guidance, Essential Eight?</t>
        </is>
      </c>
      <c r="D114" s="4" t="inlineStr">
        <is>
          <t>10, 15</t>
        </is>
      </c>
      <c r="E114" s="4" t="inlineStr">
        <is>
          <t>Security policy; accreditation requirements</t>
        </is>
      </c>
      <c r="F114" s="4" t="inlineStr">
        <is>
          <t>Security architect</t>
        </is>
      </c>
      <c r="G114" s="4" t="inlineStr">
        <is>
          <t>Must</t>
        </is>
      </c>
      <c r="H114" s="4" t="inlineStr">
        <is>
          <t>W7</t>
        </is>
      </c>
      <c r="I114" s="4" t="inlineStr"/>
      <c r="J114" s="5" t="inlineStr"/>
      <c r="K114" s="5" t="inlineStr"/>
      <c r="L114" s="5" t="inlineStr">
        <is>
          <t>Open</t>
        </is>
      </c>
      <c r="M114" s="5" t="inlineStr"/>
    </row>
    <row r="115">
      <c r="A115" s="4" t="inlineStr">
        <is>
          <t>J09</t>
        </is>
      </c>
      <c r="B115" s="4" t="inlineStr">
        <is>
          <t>Security</t>
        </is>
      </c>
      <c r="C115" s="4" t="inlineStr">
        <is>
          <t>Cryptographic requirements, including any need for FIPS 140-3 validated modules</t>
        </is>
      </c>
      <c r="D115" s="4" t="inlineStr">
        <is>
          <t>10</t>
        </is>
      </c>
      <c r="E115" s="4" t="inlineStr">
        <is>
          <t>Security policy</t>
        </is>
      </c>
      <c r="F115" s="4" t="inlineStr">
        <is>
          <t>Security architect</t>
        </is>
      </c>
      <c r="G115" s="4" t="inlineStr">
        <is>
          <t>Must</t>
        </is>
      </c>
      <c r="H115" s="4" t="inlineStr">
        <is>
          <t>W7</t>
        </is>
      </c>
      <c r="I115" s="4" t="inlineStr"/>
      <c r="J115" s="5" t="inlineStr"/>
      <c r="K115" s="5" t="inlineStr"/>
      <c r="L115" s="5" t="inlineStr">
        <is>
          <t>Open</t>
        </is>
      </c>
      <c r="M115" s="5" t="inlineStr"/>
    </row>
    <row r="116">
      <c r="A116" s="4" t="inlineStr">
        <is>
          <t>J10</t>
        </is>
      </c>
      <c r="B116" s="4" t="inlineStr">
        <is>
          <t>Security</t>
        </is>
      </c>
      <c r="C116" s="4" t="inlineStr">
        <is>
          <t>Vulnerability management tooling, scan coverage and remediation SLAs for endpoints</t>
        </is>
      </c>
      <c r="D116" s="4" t="inlineStr">
        <is>
          <t>10</t>
        </is>
      </c>
      <c r="E116" s="4" t="inlineStr">
        <is>
          <t>Vulnerability management team</t>
        </is>
      </c>
      <c r="F116" s="4" t="inlineStr">
        <is>
          <t>Security operations</t>
        </is>
      </c>
      <c r="G116" s="4" t="inlineStr">
        <is>
          <t>Must</t>
        </is>
      </c>
      <c r="H116" s="4" t="inlineStr">
        <is>
          <t>W3</t>
        </is>
      </c>
      <c r="I116" s="4" t="inlineStr"/>
      <c r="J116" s="5" t="inlineStr"/>
      <c r="K116" s="5" t="inlineStr"/>
      <c r="L116" s="5" t="inlineStr">
        <is>
          <t>Open</t>
        </is>
      </c>
      <c r="M116" s="5" t="inlineStr"/>
    </row>
    <row r="117">
      <c r="A117" s="4" t="inlineStr">
        <is>
          <t>J11</t>
        </is>
      </c>
      <c r="B117" s="4" t="inlineStr">
        <is>
          <t>Security</t>
        </is>
      </c>
      <c r="C117" s="4" t="inlineStr">
        <is>
          <t>Incident response process for endpoints and the regulatory reporting clock that applies</t>
        </is>
      </c>
      <c r="D117" s="4" t="inlineStr">
        <is>
          <t>14, 15</t>
        </is>
      </c>
      <c r="E117" s="4" t="inlineStr">
        <is>
          <t>IR plan; regulator guidance</t>
        </is>
      </c>
      <c r="F117" s="4" t="inlineStr">
        <is>
          <t>Security operations</t>
        </is>
      </c>
      <c r="G117" s="4" t="inlineStr">
        <is>
          <t>Must</t>
        </is>
      </c>
      <c r="H117" s="4" t="inlineStr">
        <is>
          <t>W7</t>
        </is>
      </c>
      <c r="I117" s="4" t="inlineStr"/>
      <c r="J117" s="5" t="inlineStr"/>
      <c r="K117" s="5" t="inlineStr"/>
      <c r="L117" s="5" t="inlineStr">
        <is>
          <t>Open</t>
        </is>
      </c>
      <c r="M117" s="5" t="inlineStr"/>
    </row>
    <row r="118">
      <c r="A118" s="4" t="inlineStr">
        <is>
          <t>J12</t>
        </is>
      </c>
      <c r="B118" s="4" t="inlineStr">
        <is>
          <t>Security</t>
        </is>
      </c>
      <c r="C118" s="4" t="inlineStr">
        <is>
          <t>Zero trust target maturity and the model being measured against</t>
        </is>
      </c>
      <c r="D118" s="4" t="inlineStr">
        <is>
          <t>10</t>
        </is>
      </c>
      <c r="E118" s="4" t="inlineStr">
        <is>
          <t>Security strategy; CISA Zero Trust Maturity Model or equivalent</t>
        </is>
      </c>
      <c r="F118" s="4" t="inlineStr">
        <is>
          <t>Security architect</t>
        </is>
      </c>
      <c r="G118" s="4" t="inlineStr">
        <is>
          <t>Must</t>
        </is>
      </c>
      <c r="H118" s="4" t="inlineStr">
        <is>
          <t>W7</t>
        </is>
      </c>
      <c r="I118" s="4" t="inlineStr"/>
      <c r="J118" s="5" t="inlineStr"/>
      <c r="K118" s="5" t="inlineStr"/>
      <c r="L118" s="5" t="inlineStr">
        <is>
          <t>Open</t>
        </is>
      </c>
      <c r="M118" s="5" t="inlineStr"/>
    </row>
    <row r="119">
      <c r="A119" s="4" t="inlineStr">
        <is>
          <t>K01</t>
        </is>
      </c>
      <c r="B119" s="4" t="inlineStr">
        <is>
          <t>Network and PKI</t>
        </is>
      </c>
      <c r="C119" s="4" t="inlineStr">
        <is>
          <t>Is there a proxy, and does it perform TLS inspection? Can the required endpoints be exempted?</t>
        </is>
      </c>
      <c r="D119" s="4" t="inlineStr">
        <is>
          <t>8, 11</t>
        </is>
      </c>
      <c r="E119" s="4" t="inlineStr">
        <is>
          <t>Network team; proxy configuration</t>
        </is>
      </c>
      <c r="F119" s="4" t="inlineStr">
        <is>
          <t>Network lead</t>
        </is>
      </c>
      <c r="G119" s="4" t="inlineStr">
        <is>
          <t>Must</t>
        </is>
      </c>
      <c r="H119" s="4" t="inlineStr">
        <is>
          <t>W6</t>
        </is>
      </c>
      <c r="I119" s="4" t="inlineStr"/>
      <c r="J119" s="5" t="inlineStr"/>
      <c r="K119" s="5" t="inlineStr"/>
      <c r="L119" s="5" t="inlineStr">
        <is>
          <t>Open</t>
        </is>
      </c>
      <c r="M119" s="5" t="inlineStr"/>
    </row>
    <row r="120">
      <c r="A120" s="4" t="inlineStr">
        <is>
          <t>K02</t>
        </is>
      </c>
      <c r="B120" s="4" t="inlineStr">
        <is>
          <t>Network and PKI</t>
        </is>
      </c>
      <c r="C120" s="4" t="inlineStr">
        <is>
          <t>Confirm which endpoint list applies and that it is allow-listed</t>
        </is>
      </c>
      <c r="D120" s="4" t="inlineStr">
        <is>
          <t>8, 11</t>
        </is>
      </c>
      <c r="E120" s="4" t="inlineStr">
        <is>
          <t>Microsoft network endpoints article for the target cloud - government tenants use *.manage.microsoft.us and login.microsoftonline.us, not the commercial endpoints</t>
        </is>
      </c>
      <c r="F120" s="4" t="inlineStr">
        <is>
          <t>Network lead</t>
        </is>
      </c>
      <c r="G120" s="4" t="inlineStr">
        <is>
          <t>Must</t>
        </is>
      </c>
      <c r="H120" s="4" t="inlineStr">
        <is>
          <t>W6</t>
        </is>
      </c>
      <c r="I120" s="4" t="inlineStr"/>
      <c r="J120" s="5" t="inlineStr"/>
      <c r="K120" s="5" t="inlineStr"/>
      <c r="L120" s="5" t="inlineStr">
        <is>
          <t>Open</t>
        </is>
      </c>
      <c r="M120" s="5" t="inlineStr"/>
    </row>
    <row r="121">
      <c r="A121" s="4" t="inlineStr">
        <is>
          <t>K03</t>
        </is>
      </c>
      <c r="B121" s="4" t="inlineStr">
        <is>
          <t>Network and PKI</t>
        </is>
      </c>
      <c r="C121" s="4" t="inlineStr">
        <is>
          <t>Bandwidth per site and the content delivery approach for large payloads</t>
        </is>
      </c>
      <c r="D121" s="4" t="inlineStr">
        <is>
          <t>11</t>
        </is>
      </c>
      <c r="E121" s="4" t="inlineStr">
        <is>
          <t>Network capacity data</t>
        </is>
      </c>
      <c r="F121" s="4" t="inlineStr">
        <is>
          <t>Network lead</t>
        </is>
      </c>
      <c r="G121" s="4" t="inlineStr">
        <is>
          <t>Must</t>
        </is>
      </c>
      <c r="H121" s="4" t="inlineStr">
        <is>
          <t>W6</t>
        </is>
      </c>
      <c r="I121" s="4" t="inlineStr"/>
      <c r="J121" s="5" t="inlineStr"/>
      <c r="K121" s="5" t="inlineStr"/>
      <c r="L121" s="5" t="inlineStr">
        <is>
          <t>Open</t>
        </is>
      </c>
      <c r="M121" s="5" t="inlineStr"/>
    </row>
    <row r="122">
      <c r="A122" s="4" t="inlineStr">
        <is>
          <t>K04</t>
        </is>
      </c>
      <c r="B122" s="4" t="inlineStr">
        <is>
          <t>Network and PKI</t>
        </is>
      </c>
      <c r="C122" s="4" t="inlineStr">
        <is>
          <t>Wi-Fi and VPN authentication methods and the certificate templates behind them</t>
        </is>
      </c>
      <c r="D122" s="4" t="inlineStr">
        <is>
          <t>7, 8</t>
        </is>
      </c>
      <c r="E122" s="4" t="inlineStr">
        <is>
          <t>Network configuration; PKI templates</t>
        </is>
      </c>
      <c r="F122" s="4" t="inlineStr">
        <is>
          <t>Network lead</t>
        </is>
      </c>
      <c r="G122" s="4" t="inlineStr">
        <is>
          <t>Must</t>
        </is>
      </c>
      <c r="H122" s="4" t="inlineStr">
        <is>
          <t>W6</t>
        </is>
      </c>
      <c r="I122" s="4" t="inlineStr"/>
      <c r="J122" s="5" t="inlineStr"/>
      <c r="K122" s="5" t="inlineStr"/>
      <c r="L122" s="5" t="inlineStr">
        <is>
          <t>Open</t>
        </is>
      </c>
      <c r="M122" s="5" t="inlineStr"/>
    </row>
    <row r="123">
      <c r="A123" s="4" t="inlineStr">
        <is>
          <t>K05</t>
        </is>
      </c>
      <c r="B123" s="4" t="inlineStr">
        <is>
          <t>Network and PKI</t>
        </is>
      </c>
      <c r="C123" s="4" t="inlineStr">
        <is>
          <t>PKI estate: issuing CAs, HSMs, NDES and SCEP servers, connector hosts and their owners</t>
        </is>
      </c>
      <c r="D123" s="4" t="inlineStr">
        <is>
          <t>7, 8, 11</t>
        </is>
      </c>
      <c r="E123" s="4" t="inlineStr">
        <is>
          <t>PKI documentation</t>
        </is>
      </c>
      <c r="F123" s="4" t="inlineStr">
        <is>
          <t>PKI owner</t>
        </is>
      </c>
      <c r="G123" s="4" t="inlineStr">
        <is>
          <t>Must</t>
        </is>
      </c>
      <c r="H123" s="4" t="inlineStr">
        <is>
          <t>W6</t>
        </is>
      </c>
      <c r="I123" s="4" t="inlineStr"/>
      <c r="J123" s="5" t="inlineStr"/>
      <c r="K123" s="5" t="inlineStr"/>
      <c r="L123" s="5" t="inlineStr">
        <is>
          <t>Open</t>
        </is>
      </c>
      <c r="M123" s="5" t="inlineStr"/>
    </row>
    <row r="124">
      <c r="A124" s="4" t="inlineStr">
        <is>
          <t>K06</t>
        </is>
      </c>
      <c r="B124" s="4" t="inlineStr">
        <is>
          <t>Network and PKI</t>
        </is>
      </c>
      <c r="C124" s="4" t="inlineStr">
        <is>
          <t>Is an always-on VPN or per-app tunnel required for managed devices?</t>
        </is>
      </c>
      <c r="D124" s="4" t="inlineStr">
        <is>
          <t>7</t>
        </is>
      </c>
      <c r="E124" s="4" t="inlineStr">
        <is>
          <t>Network team; security policy</t>
        </is>
      </c>
      <c r="F124" s="4" t="inlineStr">
        <is>
          <t>Network lead</t>
        </is>
      </c>
      <c r="G124" s="4" t="inlineStr">
        <is>
          <t>Must</t>
        </is>
      </c>
      <c r="H124" s="4" t="inlineStr">
        <is>
          <t>W6</t>
        </is>
      </c>
      <c r="I124" s="4" t="inlineStr"/>
      <c r="J124" s="5" t="inlineStr"/>
      <c r="K124" s="5" t="inlineStr"/>
      <c r="L124" s="5" t="inlineStr">
        <is>
          <t>Open</t>
        </is>
      </c>
      <c r="M124" s="5" t="inlineStr"/>
    </row>
    <row r="125">
      <c r="A125" s="4" t="inlineStr">
        <is>
          <t>K07</t>
        </is>
      </c>
      <c r="B125" s="4" t="inlineStr">
        <is>
          <t>Network and PKI</t>
        </is>
      </c>
      <c r="C125" s="4" t="inlineStr">
        <is>
          <t>Do all sites have direct internet access, and what boundary controls apply?</t>
        </is>
      </c>
      <c r="D125" s="4" t="inlineStr">
        <is>
          <t>11, 15</t>
        </is>
      </c>
      <c r="E125" s="4" t="inlineStr">
        <is>
          <t>Network topology; TIC or equivalent boundary policy</t>
        </is>
      </c>
      <c r="F125" s="4" t="inlineStr">
        <is>
          <t>Network lead</t>
        </is>
      </c>
      <c r="G125" s="4" t="inlineStr">
        <is>
          <t>Must</t>
        </is>
      </c>
      <c r="H125" s="4" t="inlineStr">
        <is>
          <t>W6</t>
        </is>
      </c>
      <c r="I125" s="4" t="inlineStr"/>
      <c r="J125" s="5" t="inlineStr"/>
      <c r="K125" s="5" t="inlineStr"/>
      <c r="L125" s="5" t="inlineStr">
        <is>
          <t>Open</t>
        </is>
      </c>
      <c r="M125" s="5" t="inlineStr"/>
    </row>
    <row r="126">
      <c r="A126" s="4" t="inlineStr">
        <is>
          <t>K08</t>
        </is>
      </c>
      <c r="B126" s="4" t="inlineStr">
        <is>
          <t>Network and PKI</t>
        </is>
      </c>
      <c r="C126" s="4" t="inlineStr">
        <is>
          <t>On-premises resources devices must still reach: file shares, print, line-of-business servers</t>
        </is>
      </c>
      <c r="D126" s="4" t="inlineStr">
        <is>
          <t>8</t>
        </is>
      </c>
      <c r="E126" s="4" t="inlineStr">
        <is>
          <t>Application and infrastructure inventory</t>
        </is>
      </c>
      <c r="F126" s="4" t="inlineStr">
        <is>
          <t>Infrastructure lead</t>
        </is>
      </c>
      <c r="G126" s="4" t="inlineStr">
        <is>
          <t>Must</t>
        </is>
      </c>
      <c r="H126" s="4" t="inlineStr">
        <is>
          <t>W6</t>
        </is>
      </c>
      <c r="I126" s="4" t="inlineStr"/>
      <c r="J126" s="5" t="inlineStr"/>
      <c r="K126" s="5" t="inlineStr"/>
      <c r="L126" s="5" t="inlineStr">
        <is>
          <t>Open</t>
        </is>
      </c>
      <c r="M126" s="5" t="inlineStr"/>
    </row>
    <row r="127">
      <c r="A127" s="4" t="inlineStr">
        <is>
          <t>K09</t>
        </is>
      </c>
      <c r="B127" s="4" t="inlineStr">
        <is>
          <t>Network and PKI</t>
        </is>
      </c>
      <c r="C127" s="4" t="inlineStr">
        <is>
          <t>Print infrastructure and whether cloud printing is in scope</t>
        </is>
      </c>
      <c r="D127" s="4" t="inlineStr">
        <is>
          <t>7</t>
        </is>
      </c>
      <c r="E127" s="4" t="inlineStr">
        <is>
          <t>Print service owner</t>
        </is>
      </c>
      <c r="F127" s="4" t="inlineStr">
        <is>
          <t>Infrastructure lead</t>
        </is>
      </c>
      <c r="G127" s="4" t="inlineStr">
        <is>
          <t>Should</t>
        </is>
      </c>
      <c r="H127" s="4" t="inlineStr">
        <is>
          <t>W6</t>
        </is>
      </c>
      <c r="I127" s="4" t="inlineStr"/>
      <c r="J127" s="5" t="inlineStr"/>
      <c r="K127" s="5" t="inlineStr"/>
      <c r="L127" s="5" t="inlineStr">
        <is>
          <t>Open</t>
        </is>
      </c>
      <c r="M127" s="5" t="inlineStr"/>
    </row>
    <row r="128">
      <c r="A128" s="4" t="inlineStr">
        <is>
          <t>K10</t>
        </is>
      </c>
      <c r="B128" s="4" t="inlineStr">
        <is>
          <t>Network and PKI</t>
        </is>
      </c>
      <c r="C128" s="4" t="inlineStr">
        <is>
          <t>Firewall egress and time synchronisation requirements for enrolment at each site</t>
        </is>
      </c>
      <c r="D128" s="4" t="inlineStr">
        <is>
          <t>8, 11</t>
        </is>
      </c>
      <c r="E128" s="4" t="inlineStr">
        <is>
          <t>Network team</t>
        </is>
      </c>
      <c r="F128" s="4" t="inlineStr">
        <is>
          <t>Network lead</t>
        </is>
      </c>
      <c r="G128" s="4" t="inlineStr">
        <is>
          <t>Should</t>
        </is>
      </c>
      <c r="H128" s="4" t="inlineStr">
        <is>
          <t>W6</t>
        </is>
      </c>
      <c r="I128" s="4" t="inlineStr"/>
      <c r="J128" s="5" t="inlineStr"/>
      <c r="K128" s="5" t="inlineStr"/>
      <c r="L128" s="5" t="inlineStr">
        <is>
          <t>Open</t>
        </is>
      </c>
      <c r="M128" s="5" t="inlineStr"/>
    </row>
    <row r="129">
      <c r="A129" s="4" t="inlineStr">
        <is>
          <t>L01</t>
        </is>
      </c>
      <c r="B129" s="4" t="inlineStr">
        <is>
          <t>Government</t>
        </is>
      </c>
      <c r="C129" s="4" t="inlineStr">
        <is>
          <t>Which jurisdiction governs this service, and which regulator or authority holds it to account?</t>
        </is>
      </c>
      <c r="D129" s="4" t="inlineStr">
        <is>
          <t>15 Compliance</t>
        </is>
      </c>
      <c r="E129" s="4" t="inlineStr">
        <is>
          <t>Legal and information assurance</t>
        </is>
      </c>
      <c r="F129" s="4" t="inlineStr">
        <is>
          <t>Information assurance lead</t>
        </is>
      </c>
      <c r="G129" s="4" t="inlineStr">
        <is>
          <t>Must</t>
        </is>
      </c>
      <c r="H129" s="4" t="inlineStr">
        <is>
          <t>W7</t>
        </is>
      </c>
      <c r="I129" s="4" t="inlineStr"/>
      <c r="J129" s="5" t="inlineStr"/>
      <c r="K129" s="5" t="inlineStr"/>
      <c r="L129" s="5" t="inlineStr">
        <is>
          <t>Open</t>
        </is>
      </c>
      <c r="M129" s="5" t="inlineStr"/>
    </row>
    <row r="130">
      <c r="A130" s="4" t="inlineStr">
        <is>
          <t>L02</t>
        </is>
      </c>
      <c r="B130" s="4" t="inlineStr">
        <is>
          <t>Government</t>
        </is>
      </c>
      <c r="C130" s="4" t="inlineStr">
        <is>
          <t>Target cloud environment: commercial, GCC, GCC High, DoD, or a national sovereign cloud</t>
        </is>
      </c>
      <c r="D130" s="4" t="inlineStr">
        <is>
          <t>11 ADR-001</t>
        </is>
      </c>
      <c r="E130" s="4" t="inlineStr">
        <is>
          <t>Licensing and assurance requirements; Microsoft government service description</t>
        </is>
      </c>
      <c r="F130" s="4" t="inlineStr">
        <is>
          <t>Information assurance lead</t>
        </is>
      </c>
      <c r="G130" s="4" t="inlineStr">
        <is>
          <t>Must</t>
        </is>
      </c>
      <c r="H130" s="4" t="inlineStr">
        <is>
          <t>W7</t>
        </is>
      </c>
      <c r="I130" s="4" t="inlineStr"/>
      <c r="J130" s="5" t="inlineStr"/>
      <c r="K130" s="5" t="inlineStr"/>
      <c r="L130" s="5" t="inlineStr">
        <is>
          <t>Open</t>
        </is>
      </c>
      <c r="M130" s="5" t="inlineStr"/>
    </row>
    <row r="131">
      <c r="A131" s="4" t="inlineStr">
        <is>
          <t>L03</t>
        </is>
      </c>
      <c r="B131" s="4" t="inlineStr">
        <is>
          <t>Government</t>
        </is>
      </c>
      <c r="C131" s="4" t="inlineStr">
        <is>
          <t>Highest data classification that will be handled on managed endpoints</t>
        </is>
      </c>
      <c r="D131" s="4" t="inlineStr">
        <is>
          <t>9, 10</t>
        </is>
      </c>
      <c r="E131" s="4" t="inlineStr">
        <is>
          <t>Information asset register; classification policy</t>
        </is>
      </c>
      <c r="F131" s="4" t="inlineStr">
        <is>
          <t>Information assurance lead</t>
        </is>
      </c>
      <c r="G131" s="4" t="inlineStr">
        <is>
          <t>Must</t>
        </is>
      </c>
      <c r="H131" s="4" t="inlineStr">
        <is>
          <t>W7</t>
        </is>
      </c>
      <c r="I131" s="4" t="inlineStr"/>
      <c r="J131" s="5" t="inlineStr"/>
      <c r="K131" s="5" t="inlineStr"/>
      <c r="L131" s="5" t="inlineStr">
        <is>
          <t>Open</t>
        </is>
      </c>
      <c r="M131" s="5" t="inlineStr"/>
    </row>
    <row r="132">
      <c r="A132" s="4" t="inlineStr">
        <is>
          <t>L04</t>
        </is>
      </c>
      <c r="B132" s="4" t="inlineStr">
        <is>
          <t>Government</t>
        </is>
      </c>
      <c r="C132" s="4" t="inlineStr">
        <is>
          <t>Accreditation route and the evidence pack required: ATO, FedRAMP, IRAP, GovAssure or equivalent</t>
        </is>
      </c>
      <c r="D132" s="4" t="inlineStr">
        <is>
          <t>15</t>
        </is>
      </c>
      <c r="E132" s="4" t="inlineStr">
        <is>
          <t>Assurance team</t>
        </is>
      </c>
      <c r="F132" s="4" t="inlineStr">
        <is>
          <t>Information assurance lead</t>
        </is>
      </c>
      <c r="G132" s="4" t="inlineStr">
        <is>
          <t>Must</t>
        </is>
      </c>
      <c r="H132" s="4" t="inlineStr">
        <is>
          <t>W7</t>
        </is>
      </c>
      <c r="I132" s="4" t="inlineStr"/>
      <c r="J132" s="5" t="inlineStr"/>
      <c r="K132" s="5" t="inlineStr"/>
      <c r="L132" s="5" t="inlineStr">
        <is>
          <t>Open</t>
        </is>
      </c>
      <c r="M132" s="5" t="inlineStr"/>
    </row>
    <row r="133">
      <c r="A133" s="6" t="inlineStr">
        <is>
          <t>L05</t>
        </is>
      </c>
      <c r="B133" s="6" t="inlineStr">
        <is>
          <t>Government</t>
        </is>
      </c>
      <c r="C133" s="6" t="inlineStr">
        <is>
          <t>Check every required capability against the government feature tables before the design assumes it</t>
        </is>
      </c>
      <c r="D133" s="6" t="inlineStr">
        <is>
          <t>7, 11, 15</t>
        </is>
      </c>
      <c r="E133" s="6" t="inlineStr">
        <is>
          <t>Microsoft Intune government service overview - supported, planned, and not-available tables</t>
        </is>
      </c>
      <c r="F133" s="6" t="inlineStr">
        <is>
          <t>Endpoint architect</t>
        </is>
      </c>
      <c r="G133" s="6" t="inlineStr">
        <is>
          <t>Must</t>
        </is>
      </c>
      <c r="H133" s="6" t="inlineStr">
        <is>
          <t>W7</t>
        </is>
      </c>
      <c r="I133" s="6" t="inlineStr">
        <is>
          <t>GOV GAP: run this check explicitly - the not-available list includes Autopilot, Remediations, the ServiceNow connector, Store for Business, the Power BI connector for the data warehouse, Windows Backup for Organizations and AVD multi-session</t>
        </is>
      </c>
      <c r="J133" s="6" t="inlineStr"/>
      <c r="K133" s="6" t="inlineStr"/>
      <c r="L133" s="6" t="inlineStr">
        <is>
          <t>Open</t>
        </is>
      </c>
      <c r="M133" s="6" t="inlineStr"/>
    </row>
    <row r="134">
      <c r="A134" s="4" t="inlineStr">
        <is>
          <t>L06</t>
        </is>
      </c>
      <c r="B134" s="4" t="inlineStr">
        <is>
          <t>Government</t>
        </is>
      </c>
      <c r="C134" s="4" t="inlineStr">
        <is>
          <t>Is tenant hardening against a published STIG required, and which one?</t>
        </is>
      </c>
      <c r="D134" s="4" t="inlineStr">
        <is>
          <t>10, 15</t>
        </is>
      </c>
      <c r="E134" s="4" t="inlineStr">
        <is>
          <t>public.cyber.mil STIG document library (MDM/EMM); security policy</t>
        </is>
      </c>
      <c r="F134" s="4" t="inlineStr">
        <is>
          <t>Security architect</t>
        </is>
      </c>
      <c r="G134" s="4" t="inlineStr">
        <is>
          <t>Must</t>
        </is>
      </c>
      <c r="H134" s="4" t="inlineStr">
        <is>
          <t>W7</t>
        </is>
      </c>
      <c r="I134" s="4" t="inlineStr"/>
      <c r="J134" s="5" t="inlineStr"/>
      <c r="K134" s="5" t="inlineStr"/>
      <c r="L134" s="5" t="inlineStr">
        <is>
          <t>Open</t>
        </is>
      </c>
      <c r="M134" s="5" t="inlineStr"/>
    </row>
    <row r="135">
      <c r="A135" s="4" t="inlineStr">
        <is>
          <t>L07</t>
        </is>
      </c>
      <c r="B135" s="4" t="inlineStr">
        <is>
          <t>Government</t>
        </is>
      </c>
      <c r="C135" s="4" t="inlineStr">
        <is>
          <t>Do CJIS, IRS 1075 or a specific DoD impact level apply to any data on these devices?</t>
        </is>
      </c>
      <c r="D135" s="4" t="inlineStr">
        <is>
          <t>15</t>
        </is>
      </c>
      <c r="E135" s="4" t="inlineStr">
        <is>
          <t>Information asset register; legal</t>
        </is>
      </c>
      <c r="F135" s="4" t="inlineStr">
        <is>
          <t>Information assurance lead</t>
        </is>
      </c>
      <c r="G135" s="4" t="inlineStr">
        <is>
          <t>Must</t>
        </is>
      </c>
      <c r="H135" s="4" t="inlineStr">
        <is>
          <t>W7</t>
        </is>
      </c>
      <c r="I135" s="4" t="inlineStr"/>
      <c r="J135" s="5" t="inlineStr"/>
      <c r="K135" s="5" t="inlineStr"/>
      <c r="L135" s="5" t="inlineStr">
        <is>
          <t>Open</t>
        </is>
      </c>
      <c r="M135" s="5" t="inlineStr"/>
    </row>
    <row r="136">
      <c r="A136" s="4" t="inlineStr">
        <is>
          <t>L08</t>
        </is>
      </c>
      <c r="B136" s="4" t="inlineStr">
        <is>
          <t>Government</t>
        </is>
      </c>
      <c r="C136" s="4" t="inlineStr">
        <is>
          <t>Data residency requirements, and any constraint on the location or nationality of support staff</t>
        </is>
      </c>
      <c r="D136" s="4" t="inlineStr">
        <is>
          <t>9, 15</t>
        </is>
      </c>
      <c r="E136" s="4" t="inlineStr">
        <is>
          <t>Contract and policy review</t>
        </is>
      </c>
      <c r="F136" s="4" t="inlineStr">
        <is>
          <t>Information assurance lead</t>
        </is>
      </c>
      <c r="G136" s="4" t="inlineStr">
        <is>
          <t>Must</t>
        </is>
      </c>
      <c r="H136" s="4" t="inlineStr">
        <is>
          <t>W7</t>
        </is>
      </c>
      <c r="I136" s="4" t="inlineStr"/>
      <c r="J136" s="5" t="inlineStr"/>
      <c r="K136" s="5" t="inlineStr"/>
      <c r="L136" s="5" t="inlineStr">
        <is>
          <t>Open</t>
        </is>
      </c>
      <c r="M136" s="5" t="inlineStr"/>
    </row>
    <row r="137">
      <c r="A137" s="4" t="inlineStr">
        <is>
          <t>L09</t>
        </is>
      </c>
      <c r="B137" s="4" t="inlineStr">
        <is>
          <t>Government</t>
        </is>
      </c>
      <c r="C137" s="4" t="inlineStr">
        <is>
          <t>Records management and freedom of information obligations for data held on devices</t>
        </is>
      </c>
      <c r="D137" s="4" t="inlineStr">
        <is>
          <t>9, 15</t>
        </is>
      </c>
      <c r="E137" s="4" t="inlineStr">
        <is>
          <t>Records manager</t>
        </is>
      </c>
      <c r="F137" s="4" t="inlineStr">
        <is>
          <t>Records manager</t>
        </is>
      </c>
      <c r="G137" s="4" t="inlineStr">
        <is>
          <t>Must</t>
        </is>
      </c>
      <c r="H137" s="4" t="inlineStr">
        <is>
          <t>W7</t>
        </is>
      </c>
      <c r="I137" s="4" t="inlineStr"/>
      <c r="J137" s="5" t="inlineStr"/>
      <c r="K137" s="5" t="inlineStr"/>
      <c r="L137" s="5" t="inlineStr">
        <is>
          <t>Open</t>
        </is>
      </c>
      <c r="M137" s="5" t="inlineStr"/>
    </row>
    <row r="138">
      <c r="A138" s="4" t="inlineStr">
        <is>
          <t>L10</t>
        </is>
      </c>
      <c r="B138" s="4" t="inlineStr">
        <is>
          <t>Government</t>
        </is>
      </c>
      <c r="C138" s="4" t="inlineStr">
        <is>
          <t>Accessibility standard the end-user experience must meet</t>
        </is>
      </c>
      <c r="D138" s="4" t="inlineStr">
        <is>
          <t>4, 15</t>
        </is>
      </c>
      <c r="E138" s="4" t="inlineStr">
        <is>
          <t>Accessibility policy; applicable regulations</t>
        </is>
      </c>
      <c r="F138" s="4" t="inlineStr">
        <is>
          <t>Accessibility lead</t>
        </is>
      </c>
      <c r="G138" s="4" t="inlineStr">
        <is>
          <t>Must</t>
        </is>
      </c>
      <c r="H138" s="4" t="inlineStr">
        <is>
          <t>W7</t>
        </is>
      </c>
      <c r="I138" s="4" t="inlineStr"/>
      <c r="J138" s="5" t="inlineStr"/>
      <c r="K138" s="5" t="inlineStr"/>
      <c r="L138" s="5" t="inlineStr">
        <is>
          <t>Open</t>
        </is>
      </c>
      <c r="M138" s="5" t="inlineStr"/>
    </row>
    <row r="139">
      <c r="A139" s="4" t="inlineStr">
        <is>
          <t>L11</t>
        </is>
      </c>
      <c r="B139" s="4" t="inlineStr">
        <is>
          <t>Government</t>
        </is>
      </c>
      <c r="C139" s="4" t="inlineStr">
        <is>
          <t>Procurement framework and supplier assurance requirements that constrain the design</t>
        </is>
      </c>
      <c r="D139" s="4" t="inlineStr">
        <is>
          <t>14, 18</t>
        </is>
      </c>
      <c r="E139" s="4" t="inlineStr">
        <is>
          <t>Commercial team</t>
        </is>
      </c>
      <c r="F139" s="4" t="inlineStr">
        <is>
          <t>Commercial lead</t>
        </is>
      </c>
      <c r="G139" s="4" t="inlineStr">
        <is>
          <t>Must</t>
        </is>
      </c>
      <c r="H139" s="4" t="inlineStr">
        <is>
          <t>W7</t>
        </is>
      </c>
      <c r="I139" s="4" t="inlineStr"/>
      <c r="J139" s="5" t="inlineStr"/>
      <c r="K139" s="5" t="inlineStr"/>
      <c r="L139" s="5" t="inlineStr">
        <is>
          <t>Open</t>
        </is>
      </c>
      <c r="M139" s="5" t="inlineStr"/>
    </row>
    <row r="140">
      <c r="A140" s="4" t="inlineStr">
        <is>
          <t>L12</t>
        </is>
      </c>
      <c r="B140" s="4" t="inlineStr">
        <is>
          <t>Government</t>
        </is>
      </c>
      <c r="C140" s="4" t="inlineStr">
        <is>
          <t>Security clearance level required for administrators, and how many cleared staff exist</t>
        </is>
      </c>
      <c r="D140" s="4" t="inlineStr">
        <is>
          <t>10, 13</t>
        </is>
      </c>
      <c r="E140" s="4" t="inlineStr">
        <is>
          <t>HR; security vetting team</t>
        </is>
      </c>
      <c r="F140" s="4" t="inlineStr">
        <is>
          <t>Security architect</t>
        </is>
      </c>
      <c r="G140" s="4" t="inlineStr">
        <is>
          <t>Must</t>
        </is>
      </c>
      <c r="H140" s="4" t="inlineStr">
        <is>
          <t>W7</t>
        </is>
      </c>
      <c r="I140" s="4" t="inlineStr"/>
      <c r="J140" s="5" t="inlineStr"/>
      <c r="K140" s="5" t="inlineStr"/>
      <c r="L140" s="5" t="inlineStr">
        <is>
          <t>Open</t>
        </is>
      </c>
      <c r="M140" s="5" t="inlineStr"/>
    </row>
    <row r="141">
      <c r="A141" s="4" t="inlineStr">
        <is>
          <t>L13</t>
        </is>
      </c>
      <c r="B141" s="4" t="inlineStr">
        <is>
          <t>Government</t>
        </is>
      </c>
      <c r="C141" s="4" t="inlineStr">
        <is>
          <t>Constraints on telemetry and diagnostic data leaving the jurisdiction</t>
        </is>
      </c>
      <c r="D141" s="4" t="inlineStr">
        <is>
          <t>9</t>
        </is>
      </c>
      <c r="E141" s="4" t="inlineStr">
        <is>
          <t>Information assurance; privacy officer</t>
        </is>
      </c>
      <c r="F141" s="4" t="inlineStr">
        <is>
          <t>Information assurance lead</t>
        </is>
      </c>
      <c r="G141" s="4" t="inlineStr">
        <is>
          <t>Must</t>
        </is>
      </c>
      <c r="H141" s="4" t="inlineStr">
        <is>
          <t>W7</t>
        </is>
      </c>
      <c r="I141" s="4" t="inlineStr"/>
      <c r="J141" s="5" t="inlineStr"/>
      <c r="K141" s="5" t="inlineStr"/>
      <c r="L141" s="5" t="inlineStr">
        <is>
          <t>Open</t>
        </is>
      </c>
      <c r="M141" s="5" t="inlineStr"/>
    </row>
    <row r="142">
      <c r="A142" s="6" t="inlineStr">
        <is>
          <t>L14</t>
        </is>
      </c>
      <c r="B142" s="6" t="inlineStr">
        <is>
          <t>Government</t>
        </is>
      </c>
      <c r="C142" s="6" t="inlineStr">
        <is>
          <t>If a move between the commercial and government clouds is needed, has the re-enrolment impact been accepted?</t>
        </is>
      </c>
      <c r="D142" s="6" t="inlineStr">
        <is>
          <t>19 Transition</t>
        </is>
      </c>
      <c r="E142" s="6" t="inlineStr">
        <is>
          <t>Microsoft government service description; workshop</t>
        </is>
      </c>
      <c r="F142" s="6" t="inlineStr">
        <is>
          <t>Service owner</t>
        </is>
      </c>
      <c r="G142" s="6" t="inlineStr">
        <is>
          <t>Must</t>
        </is>
      </c>
      <c r="H142" s="6" t="inlineStr">
        <is>
          <t>W7</t>
        </is>
      </c>
      <c r="I142" s="6" t="inlineStr">
        <is>
          <t>GOV GAP: there is no built-in migration path in either direction - every device must unenrol and re-enrol</t>
        </is>
      </c>
      <c r="J142" s="6" t="inlineStr"/>
      <c r="K142" s="6" t="inlineStr"/>
      <c r="L142" s="6" t="inlineStr">
        <is>
          <t>Open</t>
        </is>
      </c>
      <c r="M142" s="6" t="inlineStr"/>
    </row>
    <row r="143">
      <c r="A143" s="4" t="inlineStr">
        <is>
          <t>M01</t>
        </is>
      </c>
      <c r="B143" s="4" t="inlineStr">
        <is>
          <t>Data and privacy</t>
        </is>
      </c>
      <c r="C143" s="4" t="inlineStr">
        <is>
          <t>What personal data is processed on or about managed devices, and on what lawful basis?</t>
        </is>
      </c>
      <c r="D143" s="4" t="inlineStr">
        <is>
          <t>9</t>
        </is>
      </c>
      <c r="E143" s="4" t="inlineStr">
        <is>
          <t>Privacy officer; record of processing</t>
        </is>
      </c>
      <c r="F143" s="4" t="inlineStr">
        <is>
          <t>Data protection officer</t>
        </is>
      </c>
      <c r="G143" s="4" t="inlineStr">
        <is>
          <t>Must</t>
        </is>
      </c>
      <c r="H143" s="4" t="inlineStr">
        <is>
          <t>W7</t>
        </is>
      </c>
      <c r="I143" s="4" t="inlineStr"/>
      <c r="J143" s="5" t="inlineStr"/>
      <c r="K143" s="5" t="inlineStr"/>
      <c r="L143" s="5" t="inlineStr">
        <is>
          <t>Open</t>
        </is>
      </c>
      <c r="M143" s="5" t="inlineStr"/>
    </row>
    <row r="144">
      <c r="A144" s="4" t="inlineStr">
        <is>
          <t>M02</t>
        </is>
      </c>
      <c r="B144" s="4" t="inlineStr">
        <is>
          <t>Data and privacy</t>
        </is>
      </c>
      <c r="C144" s="4" t="inlineStr">
        <is>
          <t>Is a data protection or privacy impact assessment required, and who owns it?</t>
        </is>
      </c>
      <c r="D144" s="4" t="inlineStr">
        <is>
          <t>9, 15</t>
        </is>
      </c>
      <c r="E144" s="4" t="inlineStr">
        <is>
          <t>Privacy officer</t>
        </is>
      </c>
      <c r="F144" s="4" t="inlineStr">
        <is>
          <t>Data protection officer</t>
        </is>
      </c>
      <c r="G144" s="4" t="inlineStr">
        <is>
          <t>Must</t>
        </is>
      </c>
      <c r="H144" s="4" t="inlineStr">
        <is>
          <t>W7</t>
        </is>
      </c>
      <c r="I144" s="4" t="inlineStr"/>
      <c r="J144" s="5" t="inlineStr"/>
      <c r="K144" s="5" t="inlineStr"/>
      <c r="L144" s="5" t="inlineStr">
        <is>
          <t>Open</t>
        </is>
      </c>
      <c r="M144" s="5" t="inlineStr"/>
    </row>
    <row r="145">
      <c r="A145" s="4" t="inlineStr">
        <is>
          <t>M03</t>
        </is>
      </c>
      <c r="B145" s="4" t="inlineStr">
        <is>
          <t>Data and privacy</t>
        </is>
      </c>
      <c r="C145" s="4" t="inlineStr">
        <is>
          <t>Retention and disposal schedule for device records, telemetry and security logs</t>
        </is>
      </c>
      <c r="D145" s="4" t="inlineStr">
        <is>
          <t>9</t>
        </is>
      </c>
      <c r="E145" s="4" t="inlineStr">
        <is>
          <t>Records manager; security operations</t>
        </is>
      </c>
      <c r="F145" s="4" t="inlineStr">
        <is>
          <t>Records manager</t>
        </is>
      </c>
      <c r="G145" s="4" t="inlineStr">
        <is>
          <t>Must</t>
        </is>
      </c>
      <c r="H145" s="4" t="inlineStr">
        <is>
          <t>W7</t>
        </is>
      </c>
      <c r="I145" s="4" t="inlineStr"/>
      <c r="J145" s="5" t="inlineStr"/>
      <c r="K145" s="5" t="inlineStr"/>
      <c r="L145" s="5" t="inlineStr">
        <is>
          <t>Open</t>
        </is>
      </c>
      <c r="M145" s="5" t="inlineStr"/>
    </row>
    <row r="146">
      <c r="A146" s="4" t="inlineStr">
        <is>
          <t>M04</t>
        </is>
      </c>
      <c r="B146" s="4" t="inlineStr">
        <is>
          <t>Data and privacy</t>
        </is>
      </c>
      <c r="C146" s="4" t="inlineStr">
        <is>
          <t>What have staff been told about visibility on personally owned devices?</t>
        </is>
      </c>
      <c r="D146" s="4" t="inlineStr">
        <is>
          <t>9, 19</t>
        </is>
      </c>
      <c r="E146" s="4" t="inlineStr">
        <is>
          <t>HR; existing BYOD policy and privacy notice</t>
        </is>
      </c>
      <c r="F146" s="4" t="inlineStr">
        <is>
          <t>Data protection officer</t>
        </is>
      </c>
      <c r="G146" s="4" t="inlineStr">
        <is>
          <t>Must</t>
        </is>
      </c>
      <c r="H146" s="4" t="inlineStr">
        <is>
          <t>W7</t>
        </is>
      </c>
      <c r="I146" s="4" t="inlineStr"/>
      <c r="J146" s="5" t="inlineStr"/>
      <c r="K146" s="5" t="inlineStr"/>
      <c r="L146" s="5" t="inlineStr">
        <is>
          <t>Open</t>
        </is>
      </c>
      <c r="M146" s="5" t="inlineStr"/>
    </row>
    <row r="147">
      <c r="A147" s="4" t="inlineStr">
        <is>
          <t>M05</t>
        </is>
      </c>
      <c r="B147" s="4" t="inlineStr">
        <is>
          <t>Data and privacy</t>
        </is>
      </c>
      <c r="C147" s="4" t="inlineStr">
        <is>
          <t>Legal hold and disclosure requirements for data held on devices</t>
        </is>
      </c>
      <c r="D147" s="4" t="inlineStr">
        <is>
          <t>9, 15</t>
        </is>
      </c>
      <c r="E147" s="4" t="inlineStr">
        <is>
          <t>Legal team</t>
        </is>
      </c>
      <c r="F147" s="4" t="inlineStr">
        <is>
          <t>Legal</t>
        </is>
      </c>
      <c r="G147" s="4" t="inlineStr">
        <is>
          <t>Should</t>
        </is>
      </c>
      <c r="H147" s="4" t="inlineStr">
        <is>
          <t>W7</t>
        </is>
      </c>
      <c r="I147" s="4" t="inlineStr"/>
      <c r="J147" s="5" t="inlineStr"/>
      <c r="K147" s="5" t="inlineStr"/>
      <c r="L147" s="5" t="inlineStr">
        <is>
          <t>Open</t>
        </is>
      </c>
      <c r="M147" s="5" t="inlineStr"/>
    </row>
    <row r="148">
      <c r="A148" s="6" t="inlineStr">
        <is>
          <t>M06</t>
        </is>
      </c>
      <c r="B148" s="6" t="inlineStr">
        <is>
          <t>Data and privacy</t>
        </is>
      </c>
      <c r="C148" s="6" t="inlineStr">
        <is>
          <t>Constraints on diagnostic data configuration and where it is processed</t>
        </is>
      </c>
      <c r="D148" s="6" t="inlineStr">
        <is>
          <t>9</t>
        </is>
      </c>
      <c r="E148" s="6" t="inlineStr">
        <is>
          <t>Privacy officer</t>
        </is>
      </c>
      <c r="F148" s="6" t="inlineStr">
        <is>
          <t>Data protection officer</t>
        </is>
      </c>
      <c r="G148" s="6" t="inlineStr">
        <is>
          <t>Should</t>
        </is>
      </c>
      <c r="H148" s="6" t="inlineStr">
        <is>
          <t>W7</t>
        </is>
      </c>
      <c r="I148" s="6" t="inlineStr">
        <is>
          <t>GOV GAP: Windows diagnostic data processor configuration is not available in GCC High or DoD</t>
        </is>
      </c>
      <c r="J148" s="6" t="inlineStr"/>
      <c r="K148" s="6" t="inlineStr"/>
      <c r="L148" s="6" t="inlineStr">
        <is>
          <t>Open</t>
        </is>
      </c>
      <c r="M148" s="6" t="inlineStr"/>
    </row>
    <row r="149">
      <c r="A149" s="4" t="inlineStr">
        <is>
          <t>N01</t>
        </is>
      </c>
      <c r="B149" s="4" t="inlineStr">
        <is>
          <t>Service management</t>
        </is>
      </c>
      <c r="C149" s="4" t="inlineStr">
        <is>
          <t>Current endpoint ticket volumes and the top ten recurring issues</t>
        </is>
      </c>
      <c r="D149" s="4" t="inlineStr">
        <is>
          <t>13, 17</t>
        </is>
      </c>
      <c r="E149" s="4" t="inlineStr">
        <is>
          <t>Service desk reporting, 12 months</t>
        </is>
      </c>
      <c r="F149" s="4" t="inlineStr">
        <is>
          <t>Service desk manager</t>
        </is>
      </c>
      <c r="G149" s="4" t="inlineStr">
        <is>
          <t>Must</t>
        </is>
      </c>
      <c r="H149" s="4" t="inlineStr">
        <is>
          <t>W8</t>
        </is>
      </c>
      <c r="I149" s="4" t="inlineStr"/>
      <c r="J149" s="5" t="inlineStr"/>
      <c r="K149" s="5" t="inlineStr"/>
      <c r="L149" s="5" t="inlineStr">
        <is>
          <t>Open</t>
        </is>
      </c>
      <c r="M149" s="5" t="inlineStr"/>
    </row>
    <row r="150">
      <c r="A150" s="4" t="inlineStr">
        <is>
          <t>N02</t>
        </is>
      </c>
      <c r="B150" s="4" t="inlineStr">
        <is>
          <t>Service management</t>
        </is>
      </c>
      <c r="C150" s="4" t="inlineStr">
        <is>
          <t>Average build, rebuild and deployment time per device today</t>
        </is>
      </c>
      <c r="D150" s="4" t="inlineStr">
        <is>
          <t>13, 18</t>
        </is>
      </c>
      <c r="E150" s="4" t="inlineStr">
        <is>
          <t>Service desk metrics</t>
        </is>
      </c>
      <c r="F150" s="4" t="inlineStr">
        <is>
          <t>Service desk manager</t>
        </is>
      </c>
      <c r="G150" s="4" t="inlineStr">
        <is>
          <t>Should</t>
        </is>
      </c>
      <c r="H150" s="4" t="inlineStr">
        <is>
          <t>W8</t>
        </is>
      </c>
      <c r="I150" s="4" t="inlineStr"/>
      <c r="J150" s="5" t="inlineStr"/>
      <c r="K150" s="5" t="inlineStr"/>
      <c r="L150" s="5" t="inlineStr">
        <is>
          <t>Open</t>
        </is>
      </c>
      <c r="M150" s="5" t="inlineStr"/>
    </row>
    <row r="151">
      <c r="A151" s="6" t="inlineStr">
        <is>
          <t>N03</t>
        </is>
      </c>
      <c r="B151" s="6" t="inlineStr">
        <is>
          <t>Service management</t>
        </is>
      </c>
      <c r="C151" s="6" t="inlineStr">
        <is>
          <t>Remote assistance tooling in use today and what must replace it</t>
        </is>
      </c>
      <c r="D151" s="6" t="inlineStr">
        <is>
          <t>13</t>
        </is>
      </c>
      <c r="E151" s="6" t="inlineStr">
        <is>
          <t>Service desk</t>
        </is>
      </c>
      <c r="F151" s="6" t="inlineStr">
        <is>
          <t>Service desk manager</t>
        </is>
      </c>
      <c r="G151" s="6" t="inlineStr">
        <is>
          <t>Must</t>
        </is>
      </c>
      <c r="H151" s="6" t="inlineStr">
        <is>
          <t>W8</t>
        </is>
      </c>
      <c r="I151" s="6" t="inlineStr">
        <is>
          <t>GOV GAP: Remote Help is GCC High only and unsupported in DoD; the TeamViewer connector is not available in either</t>
        </is>
      </c>
      <c r="J151" s="6" t="inlineStr"/>
      <c r="K151" s="6" t="inlineStr"/>
      <c r="L151" s="6" t="inlineStr">
        <is>
          <t>Open</t>
        </is>
      </c>
      <c r="M151" s="6" t="inlineStr"/>
    </row>
    <row r="152">
      <c r="A152" s="4" t="inlineStr">
        <is>
          <t>N04</t>
        </is>
      </c>
      <c r="B152" s="4" t="inlineStr">
        <is>
          <t>Service management</t>
        </is>
      </c>
      <c r="C152" s="4" t="inlineStr">
        <is>
          <t>Self-service expectations: what should users be able to do without a ticket?</t>
        </is>
      </c>
      <c r="D152" s="4" t="inlineStr">
        <is>
          <t>13</t>
        </is>
      </c>
      <c r="E152" s="4" t="inlineStr">
        <is>
          <t>Workshop</t>
        </is>
      </c>
      <c r="F152" s="4" t="inlineStr">
        <is>
          <t>Service owner</t>
        </is>
      </c>
      <c r="G152" s="4" t="inlineStr">
        <is>
          <t>Should</t>
        </is>
      </c>
      <c r="H152" s="4" t="inlineStr">
        <is>
          <t>W8</t>
        </is>
      </c>
      <c r="I152" s="4" t="inlineStr"/>
      <c r="J152" s="5" t="inlineStr"/>
      <c r="K152" s="5" t="inlineStr"/>
      <c r="L152" s="5" t="inlineStr">
        <is>
          <t>Open</t>
        </is>
      </c>
      <c r="M152" s="5" t="inlineStr"/>
    </row>
    <row r="153">
      <c r="A153" s="4" t="inlineStr">
        <is>
          <t>N05</t>
        </is>
      </c>
      <c r="B153" s="4" t="inlineStr">
        <is>
          <t>Service management</t>
        </is>
      </c>
      <c r="C153" s="4" t="inlineStr">
        <is>
          <t>Reporting each agency expects, and at what frequency</t>
        </is>
      </c>
      <c r="D153" s="4" t="inlineStr">
        <is>
          <t>13</t>
        </is>
      </c>
      <c r="E153" s="4" t="inlineStr">
        <is>
          <t>Agency IT leads</t>
        </is>
      </c>
      <c r="F153" s="4" t="inlineStr">
        <is>
          <t>Service owner</t>
        </is>
      </c>
      <c r="G153" s="4" t="inlineStr">
        <is>
          <t>Must</t>
        </is>
      </c>
      <c r="H153" s="4" t="inlineStr">
        <is>
          <t>W8</t>
        </is>
      </c>
      <c r="I153" s="4" t="inlineStr"/>
      <c r="J153" s="5" t="inlineStr"/>
      <c r="K153" s="5" t="inlineStr"/>
      <c r="L153" s="5" t="inlineStr">
        <is>
          <t>Open</t>
        </is>
      </c>
      <c r="M153" s="5" t="inlineStr"/>
    </row>
    <row r="154">
      <c r="A154" s="4" t="inlineStr">
        <is>
          <t>N06</t>
        </is>
      </c>
      <c r="B154" s="4" t="inlineStr">
        <is>
          <t>Service management</t>
        </is>
      </c>
      <c r="C154" s="4" t="inlineStr">
        <is>
          <t>Out-of-hours, field and remote-site support constraints</t>
        </is>
      </c>
      <c r="D154" s="4" t="inlineStr">
        <is>
          <t>13</t>
        </is>
      </c>
      <c r="E154" s="4" t="inlineStr">
        <is>
          <t>Service desk manager</t>
        </is>
      </c>
      <c r="F154" s="4" t="inlineStr">
        <is>
          <t>Service desk manager</t>
        </is>
      </c>
      <c r="G154" s="4" t="inlineStr">
        <is>
          <t>Should</t>
        </is>
      </c>
      <c r="H154" s="4" t="inlineStr">
        <is>
          <t>W8</t>
        </is>
      </c>
      <c r="I154" s="4" t="inlineStr"/>
      <c r="J154" s="5" t="inlineStr"/>
      <c r="K154" s="5" t="inlineStr"/>
      <c r="L154" s="5" t="inlineStr">
        <is>
          <t>Open</t>
        </is>
      </c>
      <c r="M154" s="5" t="inlineStr"/>
    </row>
    <row r="155">
      <c r="A155" s="4" t="inlineStr">
        <is>
          <t>O01</t>
        </is>
      </c>
      <c r="B155" s="4" t="inlineStr">
        <is>
          <t>Resilience</t>
        </is>
      </c>
      <c r="C155" s="4" t="inlineStr">
        <is>
          <t>Criticality tier of the endpoint service and the citizen-facing services that depend on it</t>
        </is>
      </c>
      <c r="D155" s="4" t="inlineStr">
        <is>
          <t>12</t>
        </is>
      </c>
      <c r="E155" s="4" t="inlineStr">
        <is>
          <t>Business impact analysis</t>
        </is>
      </c>
      <c r="F155" s="4" t="inlineStr">
        <is>
          <t>Service owner</t>
        </is>
      </c>
      <c r="G155" s="4" t="inlineStr">
        <is>
          <t>Must</t>
        </is>
      </c>
      <c r="H155" s="4" t="inlineStr">
        <is>
          <t>W8</t>
        </is>
      </c>
      <c r="I155" s="4" t="inlineStr"/>
      <c r="J155" s="5" t="inlineStr"/>
      <c r="K155" s="5" t="inlineStr"/>
      <c r="L155" s="5" t="inlineStr">
        <is>
          <t>Open</t>
        </is>
      </c>
      <c r="M155" s="5" t="inlineStr"/>
    </row>
    <row r="156">
      <c r="A156" s="4" t="inlineStr">
        <is>
          <t>O02</t>
        </is>
      </c>
      <c r="B156" s="4" t="inlineStr">
        <is>
          <t>Resilience</t>
        </is>
      </c>
      <c r="C156" s="4" t="inlineStr">
        <is>
          <t>RTO, RPO and maximum tolerable downtime expected for endpoint management</t>
        </is>
      </c>
      <c r="D156" s="4" t="inlineStr">
        <is>
          <t>12</t>
        </is>
      </c>
      <c r="E156" s="4" t="inlineStr">
        <is>
          <t>Business impact analysis</t>
        </is>
      </c>
      <c r="F156" s="4" t="inlineStr">
        <is>
          <t>Service owner</t>
        </is>
      </c>
      <c r="G156" s="4" t="inlineStr">
        <is>
          <t>Must</t>
        </is>
      </c>
      <c r="H156" s="4" t="inlineStr">
        <is>
          <t>W8</t>
        </is>
      </c>
      <c r="I156" s="4" t="inlineStr"/>
      <c r="J156" s="5" t="inlineStr"/>
      <c r="K156" s="5" t="inlineStr"/>
      <c r="L156" s="5" t="inlineStr">
        <is>
          <t>Open</t>
        </is>
      </c>
      <c r="M156" s="5" t="inlineStr"/>
    </row>
    <row r="157">
      <c r="A157" s="4" t="inlineStr">
        <is>
          <t>O03</t>
        </is>
      </c>
      <c r="B157" s="4" t="inlineStr">
        <is>
          <t>Resilience</t>
        </is>
      </c>
      <c r="C157" s="4" t="inlineStr">
        <is>
          <t>Is bulk rebuild or mass re-enrolment capability required, and at what scale and speed?</t>
        </is>
      </c>
      <c r="D157" s="4" t="inlineStr">
        <is>
          <t>12</t>
        </is>
      </c>
      <c r="E157" s="4" t="inlineStr">
        <is>
          <t>Workshop with security operations</t>
        </is>
      </c>
      <c r="F157" s="4" t="inlineStr">
        <is>
          <t>Security operations</t>
        </is>
      </c>
      <c r="G157" s="4" t="inlineStr">
        <is>
          <t>Must</t>
        </is>
      </c>
      <c r="H157" s="4" t="inlineStr">
        <is>
          <t>W8</t>
        </is>
      </c>
      <c r="I157" s="4" t="inlineStr"/>
      <c r="J157" s="5" t="inlineStr"/>
      <c r="K157" s="5" t="inlineStr"/>
      <c r="L157" s="5" t="inlineStr">
        <is>
          <t>Open</t>
        </is>
      </c>
      <c r="M157" s="5" t="inlineStr"/>
    </row>
    <row r="158">
      <c r="A158" s="4" t="inlineStr">
        <is>
          <t>O04</t>
        </is>
      </c>
      <c r="B158" s="4" t="inlineStr">
        <is>
          <t>Resilience</t>
        </is>
      </c>
      <c r="C158" s="4" t="inlineStr">
        <is>
          <t>How will tenant configuration be backed up and restored?</t>
        </is>
      </c>
      <c r="D158" s="4" t="inlineStr">
        <is>
          <t>12</t>
        </is>
      </c>
      <c r="E158" s="4" t="inlineStr">
        <is>
          <t>Configuration export tooling - see Tooling tab</t>
        </is>
      </c>
      <c r="F158" s="4" t="inlineStr">
        <is>
          <t>Endpoint team</t>
        </is>
      </c>
      <c r="G158" s="4" t="inlineStr">
        <is>
          <t>Must</t>
        </is>
      </c>
      <c r="H158" s="4" t="inlineStr">
        <is>
          <t>W8</t>
        </is>
      </c>
      <c r="I158" s="4" t="inlineStr"/>
      <c r="J158" s="5" t="inlineStr"/>
      <c r="K158" s="5" t="inlineStr"/>
      <c r="L158" s="5" t="inlineStr">
        <is>
          <t>Open</t>
        </is>
      </c>
      <c r="M158" s="5" t="inlineStr"/>
    </row>
    <row r="159">
      <c r="A159" s="4" t="inlineStr">
        <is>
          <t>O05</t>
        </is>
      </c>
      <c r="B159" s="4" t="inlineStr">
        <is>
          <t>Resilience</t>
        </is>
      </c>
      <c r="C159" s="4" t="inlineStr">
        <is>
          <t>What exit and portability expectations apply to the platform and its supplier?</t>
        </is>
      </c>
      <c r="D159" s="4" t="inlineStr">
        <is>
          <t>12, 16</t>
        </is>
      </c>
      <c r="E159" s="4" t="inlineStr">
        <is>
          <t>Commercial and assurance teams</t>
        </is>
      </c>
      <c r="F159" s="4" t="inlineStr">
        <is>
          <t>Commercial lead</t>
        </is>
      </c>
      <c r="G159" s="4" t="inlineStr">
        <is>
          <t>Must</t>
        </is>
      </c>
      <c r="H159" s="4" t="inlineStr">
        <is>
          <t>W7</t>
        </is>
      </c>
      <c r="I159" s="4" t="inlineStr"/>
      <c r="J159" s="5" t="inlineStr"/>
      <c r="K159" s="5" t="inlineStr"/>
      <c r="L159" s="5" t="inlineStr">
        <is>
          <t>Open</t>
        </is>
      </c>
      <c r="M159" s="5" t="inlineStr"/>
    </row>
    <row r="160">
      <c r="A160" s="4" t="inlineStr">
        <is>
          <t>P01</t>
        </is>
      </c>
      <c r="B160" s="4" t="inlineStr">
        <is>
          <t>Rollout</t>
        </is>
      </c>
      <c r="C160" s="4" t="inlineStr">
        <is>
          <t>What ring structure and pilot populations are available, and who volunteers?</t>
        </is>
      </c>
      <c r="D160" s="4" t="inlineStr">
        <is>
          <t>11, 19</t>
        </is>
      </c>
      <c r="E160" s="4" t="inlineStr">
        <is>
          <t>Workshop; Microsoft planning guide Step 5</t>
        </is>
      </c>
      <c r="F160" s="4" t="inlineStr">
        <is>
          <t>Service owner</t>
        </is>
      </c>
      <c r="G160" s="4" t="inlineStr">
        <is>
          <t>Must</t>
        </is>
      </c>
      <c r="H160" s="4" t="inlineStr">
        <is>
          <t>W9</t>
        </is>
      </c>
      <c r="I160" s="4" t="inlineStr"/>
      <c r="J160" s="5" t="inlineStr"/>
      <c r="K160" s="5" t="inlineStr"/>
      <c r="L160" s="5" t="inlineStr">
        <is>
          <t>Open</t>
        </is>
      </c>
      <c r="M160" s="5" t="inlineStr"/>
    </row>
    <row r="161">
      <c r="A161" s="4" t="inlineStr">
        <is>
          <t>P02</t>
        </is>
      </c>
      <c r="B161" s="4" t="inlineStr">
        <is>
          <t>Rollout</t>
        </is>
      </c>
      <c r="C161" s="4" t="inlineStr">
        <is>
          <t>Constraints on staged rollout tooling in the target environment</t>
        </is>
      </c>
      <c r="D161" s="4" t="inlineStr">
        <is>
          <t>11, 19</t>
        </is>
      </c>
      <c r="E161" s="4" t="inlineStr">
        <is>
          <t>Microsoft deployments and deployment plans documentation - public preview, Windows only, Required install intent only, minimum one hour between rings</t>
        </is>
      </c>
      <c r="F161" s="4" t="inlineStr">
        <is>
          <t>Endpoint architect</t>
        </is>
      </c>
      <c r="G161" s="4" t="inlineStr">
        <is>
          <t>Should</t>
        </is>
      </c>
      <c r="H161" s="4" t="inlineStr">
        <is>
          <t>W9</t>
        </is>
      </c>
      <c r="I161" s="4" t="inlineStr"/>
      <c r="J161" s="5" t="inlineStr"/>
      <c r="K161" s="5" t="inlineStr"/>
      <c r="L161" s="5" t="inlineStr">
        <is>
          <t>Open</t>
        </is>
      </c>
      <c r="M161" s="5" t="inlineStr"/>
    </row>
    <row r="162">
      <c r="A162" s="4" t="inlineStr">
        <is>
          <t>P03</t>
        </is>
      </c>
      <c r="B162" s="4" t="inlineStr">
        <is>
          <t>Rollout</t>
        </is>
      </c>
      <c r="C162" s="4" t="inlineStr">
        <is>
          <t>Communication channels, change network and the tone required for staff messaging</t>
        </is>
      </c>
      <c r="D162" s="4" t="inlineStr">
        <is>
          <t>19</t>
        </is>
      </c>
      <c r="E162" s="4" t="inlineStr">
        <is>
          <t>Internal communications team</t>
        </is>
      </c>
      <c r="F162" s="4" t="inlineStr">
        <is>
          <t>Communications lead</t>
        </is>
      </c>
      <c r="G162" s="4" t="inlineStr">
        <is>
          <t>Must</t>
        </is>
      </c>
      <c r="H162" s="4" t="inlineStr">
        <is>
          <t>W9</t>
        </is>
      </c>
      <c r="I162" s="4" t="inlineStr"/>
      <c r="J162" s="5" t="inlineStr"/>
      <c r="K162" s="5" t="inlineStr"/>
      <c r="L162" s="5" t="inlineStr">
        <is>
          <t>Open</t>
        </is>
      </c>
      <c r="M162" s="5" t="inlineStr"/>
    </row>
    <row r="163">
      <c r="A163" s="4" t="inlineStr">
        <is>
          <t>P04</t>
        </is>
      </c>
      <c r="B163" s="4" t="inlineStr">
        <is>
          <t>Rollout</t>
        </is>
      </c>
      <c r="C163" s="4" t="inlineStr">
        <is>
          <t>Training needs for end users, the service desk and administrators</t>
        </is>
      </c>
      <c r="D163" s="4" t="inlineStr">
        <is>
          <t>19</t>
        </is>
      </c>
      <c r="E163" s="4" t="inlineStr">
        <is>
          <t>Workshop</t>
        </is>
      </c>
      <c r="F163" s="4" t="inlineStr">
        <is>
          <t>Service owner</t>
        </is>
      </c>
      <c r="G163" s="4" t="inlineStr">
        <is>
          <t>Must</t>
        </is>
      </c>
      <c r="H163" s="4" t="inlineStr">
        <is>
          <t>W9</t>
        </is>
      </c>
      <c r="I163" s="4" t="inlineStr"/>
      <c r="J163" s="5" t="inlineStr"/>
      <c r="K163" s="5" t="inlineStr"/>
      <c r="L163" s="5" t="inlineStr">
        <is>
          <t>Open</t>
        </is>
      </c>
      <c r="M163" s="5" t="inlineStr"/>
    </row>
    <row r="164">
      <c r="A164" s="4" t="inlineStr">
        <is>
          <t>P05</t>
        </is>
      </c>
      <c r="B164" s="4" t="inlineStr">
        <is>
          <t>Rollout</t>
        </is>
      </c>
      <c r="C164" s="4" t="inlineStr">
        <is>
          <t>Peak business periods, election or reporting cycles, and freeze windows to avoid</t>
        </is>
      </c>
      <c r="D164" s="4" t="inlineStr">
        <is>
          <t>19</t>
        </is>
      </c>
      <c r="E164" s="4" t="inlineStr">
        <is>
          <t>Agency business leads</t>
        </is>
      </c>
      <c r="F164" s="4" t="inlineStr">
        <is>
          <t>Service owner</t>
        </is>
      </c>
      <c r="G164" s="4" t="inlineStr">
        <is>
          <t>Must</t>
        </is>
      </c>
      <c r="H164" s="4" t="inlineStr">
        <is>
          <t>W9</t>
        </is>
      </c>
      <c r="I164" s="4" t="inlineStr"/>
      <c r="J164" s="5" t="inlineStr"/>
      <c r="K164" s="5" t="inlineStr"/>
      <c r="L164" s="5" t="inlineStr">
        <is>
          <t>Open</t>
        </is>
      </c>
      <c r="M164" s="5" t="inlineStr"/>
    </row>
    <row r="165">
      <c r="A165" s="4" t="inlineStr">
        <is>
          <t>P06</t>
        </is>
      </c>
      <c r="B165" s="4" t="inlineStr">
        <is>
          <t>Rollout</t>
        </is>
      </c>
      <c r="C165" s="4" t="inlineStr">
        <is>
          <t>Rollback expectations and the definition of a failed phase</t>
        </is>
      </c>
      <c r="D165" s="4" t="inlineStr">
        <is>
          <t>19</t>
        </is>
      </c>
      <c r="E165" s="4" t="inlineStr">
        <is>
          <t>Workshop</t>
        </is>
      </c>
      <c r="F165" s="4" t="inlineStr">
        <is>
          <t>Service owner</t>
        </is>
      </c>
      <c r="G165" s="4" t="inlineStr">
        <is>
          <t>Must</t>
        </is>
      </c>
      <c r="H165" s="4" t="inlineStr">
        <is>
          <t>W9</t>
        </is>
      </c>
      <c r="I165" s="4" t="inlineStr"/>
      <c r="J165" s="5" t="inlineStr"/>
      <c r="K165" s="5" t="inlineStr"/>
      <c r="L165" s="5" t="inlineStr">
        <is>
          <t>Open</t>
        </is>
      </c>
      <c r="M165" s="5" t="inlineStr"/>
    </row>
    <row r="166">
      <c r="A166" s="4" t="inlineStr">
        <is>
          <t>Q01</t>
        </is>
      </c>
      <c r="B166" s="4" t="inlineStr">
        <is>
          <t>Migration source</t>
        </is>
      </c>
      <c r="C166" s="4" t="inlineStr">
        <is>
          <t>Configuration Manager version, hierarchy, site systems and client health percentage</t>
        </is>
      </c>
      <c r="D166" s="4" t="inlineStr">
        <is>
          <t>19</t>
        </is>
      </c>
      <c r="E166" s="4" t="inlineStr">
        <is>
          <t>ConfigMgr console and built-in reports</t>
        </is>
      </c>
      <c r="F166" s="4" t="inlineStr">
        <is>
          <t>ConfigMgr administrator</t>
        </is>
      </c>
      <c r="G166" s="4" t="inlineStr">
        <is>
          <t>Must</t>
        </is>
      </c>
      <c r="H166" s="4" t="inlineStr">
        <is>
          <t>W5</t>
        </is>
      </c>
      <c r="I166" s="4" t="inlineStr"/>
      <c r="J166" s="5" t="inlineStr"/>
      <c r="K166" s="5" t="inlineStr"/>
      <c r="L166" s="5" t="inlineStr">
        <is>
          <t>Open</t>
        </is>
      </c>
      <c r="M166" s="5" t="inlineStr"/>
    </row>
    <row r="167">
      <c r="A167" s="4" t="inlineStr">
        <is>
          <t>Q02</t>
        </is>
      </c>
      <c r="B167" s="4" t="inlineStr">
        <is>
          <t>Migration source</t>
        </is>
      </c>
      <c r="C167" s="4" t="inlineStr">
        <is>
          <t>Is co-management enabled, and which workloads have already been switched?</t>
        </is>
      </c>
      <c r="D167" s="4" t="inlineStr">
        <is>
          <t>16, 19</t>
        </is>
      </c>
      <c r="E167" s="4" t="inlineStr">
        <is>
          <t>ConfigMgr co-management dashboard</t>
        </is>
      </c>
      <c r="F167" s="4" t="inlineStr">
        <is>
          <t>ConfigMgr administrator</t>
        </is>
      </c>
      <c r="G167" s="4" t="inlineStr">
        <is>
          <t>Must</t>
        </is>
      </c>
      <c r="H167" s="4" t="inlineStr">
        <is>
          <t>W5</t>
        </is>
      </c>
      <c r="I167" s="4" t="inlineStr"/>
      <c r="J167" s="5" t="inlineStr"/>
      <c r="K167" s="5" t="inlineStr"/>
      <c r="L167" s="5" t="inlineStr">
        <is>
          <t>Open</t>
        </is>
      </c>
      <c r="M167" s="5" t="inlineStr"/>
    </row>
    <row r="168">
      <c r="A168" s="4" t="inlineStr">
        <is>
          <t>Q03</t>
        </is>
      </c>
      <c r="B168" s="4" t="inlineStr">
        <is>
          <t>Migration source</t>
        </is>
      </c>
      <c r="C168" s="4" t="inlineStr">
        <is>
          <t>Is tenant attach enabled?</t>
        </is>
      </c>
      <c r="D168" s="4" t="inlineStr">
        <is>
          <t>19</t>
        </is>
      </c>
      <c r="E168" s="4" t="inlineStr">
        <is>
          <t>ConfigMgr console</t>
        </is>
      </c>
      <c r="F168" s="4" t="inlineStr">
        <is>
          <t>ConfigMgr administrator</t>
        </is>
      </c>
      <c r="G168" s="4" t="inlineStr">
        <is>
          <t>Should</t>
        </is>
      </c>
      <c r="H168" s="4" t="inlineStr">
        <is>
          <t>W5</t>
        </is>
      </c>
      <c r="I168" s="4" t="inlineStr"/>
      <c r="J168" s="5" t="inlineStr"/>
      <c r="K168" s="5" t="inlineStr"/>
      <c r="L168" s="5" t="inlineStr">
        <is>
          <t>Open</t>
        </is>
      </c>
      <c r="M168" s="5" t="inlineStr"/>
    </row>
    <row r="169">
      <c r="A169" s="4" t="inlineStr">
        <is>
          <t>Q04</t>
        </is>
      </c>
      <c r="B169" s="4" t="inlineStr">
        <is>
          <t>Migration source</t>
        </is>
      </c>
      <c r="C169" s="4" t="inlineStr">
        <is>
          <t>Collections that must become Entra groups, and the query logic behind each</t>
        </is>
      </c>
      <c r="D169" s="4" t="inlineStr">
        <is>
          <t>8, 19</t>
        </is>
      </c>
      <c r="E169" s="4" t="inlineStr">
        <is>
          <t>ConfigMgr collection export</t>
        </is>
      </c>
      <c r="F169" s="4" t="inlineStr">
        <is>
          <t>ConfigMgr administrator</t>
        </is>
      </c>
      <c r="G169" s="4" t="inlineStr">
        <is>
          <t>Must</t>
        </is>
      </c>
      <c r="H169" s="4" t="inlineStr">
        <is>
          <t>W5</t>
        </is>
      </c>
      <c r="I169" s="4" t="inlineStr"/>
      <c r="J169" s="5" t="inlineStr"/>
      <c r="K169" s="5" t="inlineStr"/>
      <c r="L169" s="5" t="inlineStr">
        <is>
          <t>Open</t>
        </is>
      </c>
      <c r="M169" s="5" t="inlineStr"/>
    </row>
    <row r="170">
      <c r="A170" s="4" t="inlineStr">
        <is>
          <t>Q05</t>
        </is>
      </c>
      <c r="B170" s="4" t="inlineStr">
        <is>
          <t>Migration source</t>
        </is>
      </c>
      <c r="C170" s="4" t="inlineStr">
        <is>
          <t>Task sequences in use and what depends on them</t>
        </is>
      </c>
      <c r="D170" s="4" t="inlineStr">
        <is>
          <t>19</t>
        </is>
      </c>
      <c r="E170" s="4" t="inlineStr">
        <is>
          <t>ConfigMgr SQL query on v_TaskSequencePackage</t>
        </is>
      </c>
      <c r="F170" s="4" t="inlineStr">
        <is>
          <t>ConfigMgr administrator</t>
        </is>
      </c>
      <c r="G170" s="4" t="inlineStr">
        <is>
          <t>Must</t>
        </is>
      </c>
      <c r="H170" s="4" t="inlineStr">
        <is>
          <t>W5</t>
        </is>
      </c>
      <c r="I170" s="4" t="inlineStr"/>
      <c r="J170" s="5" t="inlineStr"/>
      <c r="K170" s="5" t="inlineStr"/>
      <c r="L170" s="5" t="inlineStr">
        <is>
          <t>Open</t>
        </is>
      </c>
      <c r="M170" s="5" t="inlineStr"/>
    </row>
    <row r="171">
      <c r="A171" s="4" t="inlineStr">
        <is>
          <t>Q06</t>
        </is>
      </c>
      <c r="B171" s="4" t="inlineStr">
        <is>
          <t>Migration source</t>
        </is>
      </c>
      <c r="C171" s="4" t="inlineStr">
        <is>
          <t>Software update point and WSUS dependencies</t>
        </is>
      </c>
      <c r="D171" s="4" t="inlineStr">
        <is>
          <t>19</t>
        </is>
      </c>
      <c r="E171" s="4" t="inlineStr">
        <is>
          <t>ConfigMgr console</t>
        </is>
      </c>
      <c r="F171" s="4" t="inlineStr">
        <is>
          <t>ConfigMgr administrator</t>
        </is>
      </c>
      <c r="G171" s="4" t="inlineStr">
        <is>
          <t>Must</t>
        </is>
      </c>
      <c r="H171" s="4" t="inlineStr">
        <is>
          <t>W5</t>
        </is>
      </c>
      <c r="I171" s="4" t="inlineStr"/>
      <c r="J171" s="5" t="inlineStr"/>
      <c r="K171" s="5" t="inlineStr"/>
      <c r="L171" s="5" t="inlineStr">
        <is>
          <t>Open</t>
        </is>
      </c>
      <c r="M171" s="5" t="inlineStr"/>
    </row>
    <row r="172">
      <c r="A172" s="4" t="inlineStr">
        <is>
          <t>Q07</t>
        </is>
      </c>
      <c r="B172" s="4" t="inlineStr">
        <is>
          <t>Migration source</t>
        </is>
      </c>
      <c r="C172" s="4" t="inlineStr">
        <is>
          <t>Distribution points, their content and the bandwidth they serve</t>
        </is>
      </c>
      <c r="D172" s="4" t="inlineStr">
        <is>
          <t>11, 19</t>
        </is>
      </c>
      <c r="E172" s="4" t="inlineStr">
        <is>
          <t>ConfigMgr DP report</t>
        </is>
      </c>
      <c r="F172" s="4" t="inlineStr">
        <is>
          <t>ConfigMgr administrator</t>
        </is>
      </c>
      <c r="G172" s="4" t="inlineStr">
        <is>
          <t>Should</t>
        </is>
      </c>
      <c r="H172" s="4" t="inlineStr">
        <is>
          <t>W5</t>
        </is>
      </c>
      <c r="I172" s="4" t="inlineStr"/>
      <c r="J172" s="5" t="inlineStr"/>
      <c r="K172" s="5" t="inlineStr"/>
      <c r="L172" s="5" t="inlineStr">
        <is>
          <t>Open</t>
        </is>
      </c>
      <c r="M172" s="5" t="inlineStr"/>
    </row>
    <row r="173">
      <c r="A173" s="4" t="inlineStr">
        <is>
          <t>Q08</t>
        </is>
      </c>
      <c r="B173" s="4" t="inlineStr">
        <is>
          <t>Migration source</t>
        </is>
      </c>
      <c r="C173" s="4" t="inlineStr">
        <is>
          <t>Decommissioning plan for legacy infrastructure and the licences it releases</t>
        </is>
      </c>
      <c r="D173" s="4" t="inlineStr">
        <is>
          <t>18, 19</t>
        </is>
      </c>
      <c r="E173" s="4" t="inlineStr">
        <is>
          <t>Workshop</t>
        </is>
      </c>
      <c r="F173" s="4" t="inlineStr">
        <is>
          <t>Service owner</t>
        </is>
      </c>
      <c r="G173" s="4" t="inlineStr">
        <is>
          <t>Must</t>
        </is>
      </c>
      <c r="H173" s="4" t="inlineStr">
        <is>
          <t>W5</t>
        </is>
      </c>
      <c r="I173" s="4" t="inlineStr"/>
      <c r="J173" s="5" t="inlineStr"/>
      <c r="K173" s="5" t="inlineStr"/>
      <c r="L173" s="5" t="inlineStr">
        <is>
          <t>Open</t>
        </is>
      </c>
      <c r="M173" s="5" t="inlineStr"/>
    </row>
  </sheetData>
  <autoFilter ref="A4:M173"/>
  <dataValidations count="3">
    <dataValidation sqref="G5:G173" showDropDown="0" showInputMessage="0" showErrorMessage="0" allowBlank="1" type="list">
      <formula1>"Must,Should,Could"</formula1>
    </dataValidation>
    <dataValidation sqref="L5:L173" showDropDown="0" showInputMessage="0" showErrorMessage="0" allowBlank="1" type="list">
      <formula1>"Open,In progress,Answered,Blocked,Not applicable"</formula1>
    </dataValidation>
    <dataValidation sqref="M5:M173" showDropDown="0" showInputMessage="0" showErrorMessage="0" allowBlank="1"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14" customWidth="1" min="3" max="3"/>
    <col width="18" customWidth="1" min="4" max="4"/>
    <col width="14" customWidth="1" min="5" max="5"/>
    <col width="9" customWidth="1" min="6" max="6"/>
    <col width="18" customWidth="1" min="7" max="7"/>
    <col width="20" customWidth="1" min="8" max="8"/>
    <col width="22" customWidth="1" min="9" max="9"/>
    <col width="14" customWidth="1" min="10" max="10"/>
    <col width="22" customWidth="1" min="11" max="11"/>
    <col width="12" customWidth="1" min="12" max="12"/>
    <col width="18" customWidth="1" min="13" max="13"/>
    <col width="30" customWidth="1" min="14" max="14"/>
    <col width="24" customWidth="1" min="15" max="15"/>
    <col width="13" customWidth="1" min="16" max="16"/>
  </cols>
  <sheetData>
    <row r="1">
      <c r="A1" s="1" t="inlineStr">
        <is>
          <t>Device estate inventory</t>
        </is>
      </c>
    </row>
    <row r="2">
      <c r="A2" s="2" t="inlineStr">
        <is>
          <t>One row per device cohort (platform + ownership + agency). Aggregate from Entra, Endpoint analytics, Configuration Manager and Defender. Grey row is an example.</t>
        </is>
      </c>
    </row>
    <row r="4" ht="30" customHeight="1">
      <c r="A4" s="3" t="inlineStr">
        <is>
          <t>Cohort ID</t>
        </is>
      </c>
      <c r="B4" s="3" t="inlineStr">
        <is>
          <t>Agency / business unit</t>
        </is>
      </c>
      <c r="C4" s="3" t="inlineStr">
        <is>
          <t>Platform</t>
        </is>
      </c>
      <c r="D4" s="3" t="inlineStr">
        <is>
          <t>OS version or build</t>
        </is>
      </c>
      <c r="E4" s="3" t="inlineStr">
        <is>
          <t>Ownership</t>
        </is>
      </c>
      <c r="F4" s="3" t="inlineStr">
        <is>
          <t>Count</t>
        </is>
      </c>
      <c r="G4" s="3" t="inlineStr">
        <is>
          <t>Join state</t>
        </is>
      </c>
      <c r="H4" s="3" t="inlineStr">
        <is>
          <t>Current management</t>
        </is>
      </c>
      <c r="I4" s="3" t="inlineStr">
        <is>
          <t>Enrolment method today</t>
        </is>
      </c>
      <c r="J4" s="3" t="inlineStr">
        <is>
          <t>Windows 11 capable</t>
        </is>
      </c>
      <c r="K4" s="3" t="inlineStr">
        <is>
          <t>Top readiness blocker</t>
        </is>
      </c>
      <c r="L4" s="3" t="inlineStr">
        <is>
          <t>Refresh due</t>
        </is>
      </c>
      <c r="M4" s="3" t="inlineStr">
        <is>
          <t>Data classification</t>
        </is>
      </c>
      <c r="N4" s="3" t="inlineStr">
        <is>
          <t>Notes</t>
        </is>
      </c>
      <c r="O4" s="3" t="inlineStr">
        <is>
          <t>Source of data</t>
        </is>
      </c>
      <c r="P4" s="3" t="inlineStr">
        <is>
          <t>Date captured</t>
        </is>
      </c>
    </row>
    <row r="5">
      <c r="A5" s="7" t="inlineStr">
        <is>
          <t>EX-01</t>
        </is>
      </c>
      <c r="B5" s="7" t="inlineStr">
        <is>
          <t>Example: Revenue directorate</t>
        </is>
      </c>
      <c r="C5" s="7" t="inlineStr">
        <is>
          <t>Windows</t>
        </is>
      </c>
      <c r="D5" s="7" t="inlineStr">
        <is>
          <t>Windows 10 22H2</t>
        </is>
      </c>
      <c r="E5" s="7" t="inlineStr">
        <is>
          <t>Corporate</t>
        </is>
      </c>
      <c r="F5" s="7" t="n">
        <v>1240</v>
      </c>
      <c r="G5" s="7" t="inlineStr">
        <is>
          <t>Entra hybrid joined</t>
        </is>
      </c>
      <c r="H5" s="7" t="inlineStr">
        <is>
          <t>Configuration Manager</t>
        </is>
      </c>
      <c r="I5" s="7" t="inlineStr">
        <is>
          <t>GPO + ConfigMgr client</t>
        </is>
      </c>
      <c r="J5" s="7" t="inlineStr">
        <is>
          <t>Not capable</t>
        </is>
      </c>
      <c r="K5" s="7" t="inlineStr">
        <is>
          <t>TPM 2.0 absent</t>
        </is>
      </c>
      <c r="L5" s="7" t="inlineStr">
        <is>
          <t>2027 Q2</t>
        </is>
      </c>
      <c r="M5" s="7" t="inlineStr">
        <is>
          <t>OFFICIAL</t>
        </is>
      </c>
      <c r="N5" s="7" t="inlineStr">
        <is>
          <t>Delete this example row before use</t>
        </is>
      </c>
      <c r="O5" s="7" t="inlineStr">
        <is>
          <t>Endpoint analytics export</t>
        </is>
      </c>
      <c r="P5" s="7" t="inlineStr">
        <is>
          <t>2026-09-30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
  <sheetViews>
    <sheetView workbookViewId="0">
      <pane ySplit="4" topLeftCell="A5" activePane="bottomLeft" state="frozen"/>
      <selection pane="bottomLeft" activeCell="A1" sqref="A1"/>
    </sheetView>
  </sheetViews>
  <sheetFormatPr baseColWidth="8" defaultRowHeight="15"/>
  <cols>
    <col width="9" customWidth="1" min="1" max="1"/>
    <col width="28" customWidth="1" min="2" max="2"/>
    <col width="18" customWidth="1" min="3" max="3"/>
    <col width="12" customWidth="1" min="4" max="4"/>
    <col width="20" customWidth="1" min="5" max="5"/>
    <col width="12" customWidth="1" min="6" max="6"/>
    <col width="9" customWidth="1" min="7" max="7"/>
    <col width="12" customWidth="1" min="8" max="8"/>
    <col width="18" customWidth="1" min="9" max="9"/>
    <col width="22" customWidth="1" min="10" max="10"/>
    <col width="15" customWidth="1" min="11" max="11"/>
    <col width="14" customWidth="1" min="12" max="12"/>
    <col width="12" customWidth="1" min="13" max="13"/>
    <col width="18" customWidth="1" min="14" max="14"/>
    <col width="16" customWidth="1" min="15" max="15"/>
    <col width="30" customWidth="1" min="16" max="16"/>
  </cols>
  <sheetData>
    <row r="1">
      <c r="A1" s="1" t="inlineStr">
        <is>
          <t>Application inventory and rationalisation</t>
        </is>
      </c>
    </row>
    <row r="2">
      <c r="A2" s="2" t="inlineStr">
        <is>
          <t>One row per application. Source counts from Configuration Manager reporting and the current MDM. Decide keep / replace / retire during discovery, not during design.</t>
        </is>
      </c>
    </row>
    <row r="4" ht="30" customHeight="1">
      <c r="A4" s="3" t="inlineStr">
        <is>
          <t>App ID</t>
        </is>
      </c>
      <c r="B4" s="3" t="inlineStr">
        <is>
          <t>Application</t>
        </is>
      </c>
      <c r="C4" s="3" t="inlineStr">
        <is>
          <t>Vendor</t>
        </is>
      </c>
      <c r="D4" s="3" t="inlineStr">
        <is>
          <t>Version</t>
        </is>
      </c>
      <c r="E4" s="3" t="inlineStr">
        <is>
          <t>Business owner</t>
        </is>
      </c>
      <c r="F4" s="3" t="inlineStr">
        <is>
          <t>Criticality</t>
        </is>
      </c>
      <c r="G4" s="3" t="inlineStr">
        <is>
          <t>Users</t>
        </is>
      </c>
      <c r="H4" s="3" t="inlineStr">
        <is>
          <t>Install count</t>
        </is>
      </c>
      <c r="I4" s="3" t="inlineStr">
        <is>
          <t>Packaging format</t>
        </is>
      </c>
      <c r="J4" s="3" t="inlineStr">
        <is>
          <t>Dependencies</t>
        </is>
      </c>
      <c r="K4" s="3" t="inlineStr">
        <is>
          <t>Needs admin rights</t>
        </is>
      </c>
      <c r="L4" s="3" t="inlineStr">
        <is>
          <t>In task sequence</t>
        </is>
      </c>
      <c r="M4" s="3" t="inlineStr">
        <is>
          <t>Platform</t>
        </is>
      </c>
      <c r="N4" s="3" t="inlineStr">
        <is>
          <t>Keep / replace / retire</t>
        </is>
      </c>
      <c r="O4" s="3" t="inlineStr">
        <is>
          <t>Repackaging effort</t>
        </is>
      </c>
      <c r="P4" s="3" t="inlineStr">
        <is>
          <t>Notes</t>
        </is>
      </c>
    </row>
    <row r="5">
      <c r="A5" s="7" t="inlineStr">
        <is>
          <t>EX-01</t>
        </is>
      </c>
      <c r="B5" s="7" t="inlineStr">
        <is>
          <t>Example: Case management client</t>
        </is>
      </c>
      <c r="C5" s="7" t="inlineStr">
        <is>
          <t>Contoso</t>
        </is>
      </c>
      <c r="D5" s="7" t="inlineStr">
        <is>
          <t>7.2.1</t>
        </is>
      </c>
      <c r="E5" s="7" t="inlineStr">
        <is>
          <t>Revenue directorate</t>
        </is>
      </c>
      <c r="F5" s="7" t="inlineStr">
        <is>
          <t>Critical</t>
        </is>
      </c>
      <c r="G5" s="7" t="n">
        <v>900</v>
      </c>
      <c r="H5" s="7" t="n">
        <v>1120</v>
      </c>
      <c r="I5" s="7" t="inlineStr">
        <is>
          <t>MSI + transform</t>
        </is>
      </c>
      <c r="J5" s="7" t="inlineStr">
        <is>
          <t>SQL native client</t>
        </is>
      </c>
      <c r="K5" s="7" t="inlineStr">
        <is>
          <t>Yes - at run time</t>
        </is>
      </c>
      <c r="L5" s="7" t="inlineStr">
        <is>
          <t>Yes</t>
        </is>
      </c>
      <c r="M5" s="7" t="inlineStr">
        <is>
          <t>Windows</t>
        </is>
      </c>
      <c r="N5" s="7" t="inlineStr">
        <is>
          <t>Keep</t>
        </is>
      </c>
      <c r="O5" s="7" t="inlineStr">
        <is>
          <t>High</t>
        </is>
      </c>
      <c r="P5" s="7" t="inlineStr">
        <is>
          <t>Delete this example row before use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
  <sheetViews>
    <sheetView workbookViewId="0">
      <pane ySplit="4" topLeftCell="A5" activePane="bottomLeft" state="frozen"/>
      <selection pane="bottomLeft" activeCell="A1" sqref="A1"/>
    </sheetView>
  </sheetViews>
  <sheetFormatPr baseColWidth="8" defaultRowHeight="15"/>
  <cols>
    <col width="9" customWidth="1" min="1" max="1"/>
    <col width="34" customWidth="1" min="2" max="2"/>
    <col width="26" customWidth="1" min="3" max="3"/>
    <col width="30" customWidth="1" min="4" max="4"/>
    <col width="18" customWidth="1" min="5" max="5"/>
    <col width="14" customWidth="1" min="6" max="6"/>
    <col width="12" customWidth="1" min="7" max="7"/>
    <col width="15" customWidth="1" min="8" max="8"/>
    <col width="22" customWidth="1" min="9" max="9"/>
    <col width="26" customWidth="1" min="10" max="10"/>
    <col width="16" customWidth="1" min="11" max="11"/>
    <col width="16" customWidth="1" min="12" max="12"/>
    <col width="30" customWidth="1" min="13" max="13"/>
  </cols>
  <sheetData>
    <row r="1">
      <c r="A1" s="1" t="inlineStr">
        <is>
          <t>Group Policy inventory and translation tracker</t>
        </is>
      </c>
    </row>
    <row r="2">
      <c r="A2" s="2" t="inlineStr">
        <is>
          <t>Populate from Get-GPOReport -All -ReportType Xml, then from the Group Policy analytics report. Expect the difficult 20 percent to consume most of the effort.</t>
        </is>
      </c>
    </row>
    <row r="4" ht="30" customHeight="1">
      <c r="A4" s="3" t="inlineStr">
        <is>
          <t>GPO ID</t>
        </is>
      </c>
      <c r="B4" s="3" t="inlineStr">
        <is>
          <t>GPO name</t>
        </is>
      </c>
      <c r="C4" s="3" t="inlineStr">
        <is>
          <t>Linked OU(s)</t>
        </is>
      </c>
      <c r="D4" s="3" t="inlineStr">
        <is>
          <t>Purpose</t>
        </is>
      </c>
      <c r="E4" s="3" t="inlineStr">
        <is>
          <t>Owner</t>
        </is>
      </c>
      <c r="F4" s="3" t="inlineStr">
        <is>
          <t>Last modified</t>
        </is>
      </c>
      <c r="G4" s="3" t="inlineStr">
        <is>
          <t>Setting count</t>
        </is>
      </c>
      <c r="H4" s="3" t="inlineStr">
        <is>
          <t>Supported in MDM</t>
        </is>
      </c>
      <c r="I4" s="3" t="inlineStr">
        <is>
          <t>Unsupported settings</t>
        </is>
      </c>
      <c r="J4" s="3" t="inlineStr">
        <is>
          <t>Target Intune mechanism</t>
        </is>
      </c>
      <c r="K4" s="3" t="inlineStr">
        <is>
          <t>Translation difficulty</t>
        </is>
      </c>
      <c r="L4" s="3" t="inlineStr">
        <is>
          <t>Decision</t>
        </is>
      </c>
      <c r="M4" s="3" t="inlineStr">
        <is>
          <t>Notes</t>
        </is>
      </c>
    </row>
    <row r="5">
      <c r="A5" s="7" t="inlineStr">
        <is>
          <t>EX-01</t>
        </is>
      </c>
      <c r="B5" s="7" t="inlineStr">
        <is>
          <t>Example: Corp - Workstation security</t>
        </is>
      </c>
      <c r="C5" s="7" t="inlineStr">
        <is>
          <t>OU=Workstations</t>
        </is>
      </c>
      <c r="D5" s="7" t="inlineStr">
        <is>
          <t>Baseline lockdown</t>
        </is>
      </c>
      <c r="E5" s="7" t="inlineStr">
        <is>
          <t>Unowned</t>
        </is>
      </c>
      <c r="F5" s="7" t="inlineStr">
        <is>
          <t>2014-06-11</t>
        </is>
      </c>
      <c r="G5" s="7" t="n">
        <v>214</v>
      </c>
      <c r="H5" s="7" t="inlineStr">
        <is>
          <t>182 of 214</t>
        </is>
      </c>
      <c r="I5" s="7" t="inlineStr">
        <is>
          <t>Drive maps, logon script</t>
        </is>
      </c>
      <c r="J5" s="7" t="inlineStr">
        <is>
          <t>Settings catalogue</t>
        </is>
      </c>
      <c r="K5" s="7" t="inlineStr">
        <is>
          <t>Medium</t>
        </is>
      </c>
      <c r="L5" s="7" t="inlineStr">
        <is>
          <t>Replace</t>
        </is>
      </c>
      <c r="M5" s="7" t="inlineStr">
        <is>
          <t>Unowned GPO - deprecation candidate; delete this example row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pane ySplit="4" topLeftCell="A5" activePane="bottomLeft" state="frozen"/>
      <selection pane="bottomLeft" activeCell="A1" sqref="A1"/>
    </sheetView>
  </sheetViews>
  <sheetFormatPr baseColWidth="8" defaultRowHeight="15"/>
  <cols>
    <col width="40" customWidth="1" min="1" max="1"/>
    <col width="34" customWidth="1" min="2" max="2"/>
    <col width="26" customWidth="1" min="3" max="3"/>
    <col width="30" customWidth="1" min="4" max="4"/>
    <col width="22" customWidth="1" min="5" max="5"/>
    <col width="20" customWidth="1" min="6" max="6"/>
    <col width="34" customWidth="1" min="7" max="7"/>
  </cols>
  <sheetData>
    <row r="1">
      <c r="A1" s="1" t="inlineStr">
        <is>
          <t>Configuration Manager estate and co-management assessment</t>
        </is>
      </c>
    </row>
    <row r="2">
      <c r="A2" s="2" t="inlineStr">
        <is>
          <t>Capture the current hierarchy and, for each co-management workload, where it is authoritative today and where it should end up.</t>
        </is>
      </c>
    </row>
    <row r="4" ht="30" customHeight="1">
      <c r="A4" s="3" t="inlineStr">
        <is>
          <t>Item</t>
        </is>
      </c>
      <c r="B4" s="3" t="inlineStr">
        <is>
          <t>Current state</t>
        </is>
      </c>
      <c r="C4" s="3" t="inlineStr">
        <is>
          <t>Evidence</t>
        </is>
      </c>
      <c r="D4" s="3" t="inlineStr">
        <is>
          <t>Target state</t>
        </is>
      </c>
      <c r="E4" s="3" t="inlineStr">
        <is>
          <t>Decision needed</t>
        </is>
      </c>
      <c r="F4" s="3" t="inlineStr">
        <is>
          <t>Owner</t>
        </is>
      </c>
      <c r="G4" s="3" t="inlineStr">
        <is>
          <t>Notes</t>
        </is>
      </c>
    </row>
    <row r="5">
      <c r="A5" s="7" t="inlineStr">
        <is>
          <t>Example: Compliance policies workload</t>
        </is>
      </c>
      <c r="B5" s="7" t="inlineStr">
        <is>
          <t>Configuration Manager</t>
        </is>
      </c>
      <c r="C5" s="7" t="inlineStr">
        <is>
          <t>Co-management dashboard</t>
        </is>
      </c>
      <c r="D5" s="7" t="inlineStr">
        <is>
          <t>Intune</t>
        </is>
      </c>
      <c r="E5" s="7" t="inlineStr">
        <is>
          <t>Switch sequence and pilot collection</t>
        </is>
      </c>
      <c r="F5" s="7" t="inlineStr">
        <is>
          <t>ConfigMgr administrator</t>
        </is>
      </c>
      <c r="G5" s="7" t="inlineStr">
        <is>
          <t>Delete this example row before use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
  <sheetViews>
    <sheetView workbookViewId="0">
      <pane ySplit="4" topLeftCell="A5" activePane="bottomLeft" state="frozen"/>
      <selection pane="bottomLeft" activeCell="A1" sqref="A1"/>
    </sheetView>
  </sheetViews>
  <sheetFormatPr baseColWidth="8" defaultRowHeight="15"/>
  <cols>
    <col width="40" customWidth="1" min="1" max="1"/>
    <col width="36" customWidth="1" min="2" max="2"/>
    <col width="26" customWidth="1" min="3" max="3"/>
    <col width="34" customWidth="1" min="4" max="4"/>
    <col width="20" customWidth="1" min="5" max="5"/>
    <col width="32" customWidth="1" min="6" max="6"/>
  </cols>
  <sheetData>
    <row r="1">
      <c r="A1" s="1" t="inlineStr">
        <is>
          <t>Identity, groups and delegated administration</t>
        </is>
      </c>
    </row>
    <row r="2">
      <c r="A2" s="2" t="inlineStr">
        <is>
          <t>Tenants, synchronisation, Conditional Access and the group and RBAC structure that targeting will depend on.</t>
        </is>
      </c>
    </row>
    <row r="4" ht="30" customHeight="1">
      <c r="A4" s="3" t="inlineStr">
        <is>
          <t>Item</t>
        </is>
      </c>
      <c r="B4" s="3" t="inlineStr">
        <is>
          <t>Current state</t>
        </is>
      </c>
      <c r="C4" s="3" t="inlineStr">
        <is>
          <t>Evidence</t>
        </is>
      </c>
      <c r="D4" s="3" t="inlineStr">
        <is>
          <t>Constraint or requirement</t>
        </is>
      </c>
      <c r="E4" s="3" t="inlineStr">
        <is>
          <t>Owner</t>
        </is>
      </c>
      <c r="F4" s="3" t="inlineStr">
        <is>
          <t>Notes</t>
        </is>
      </c>
    </row>
    <row r="5">
      <c r="A5" s="7" t="inlineStr">
        <is>
          <t>Example: Conditional Access policy set</t>
        </is>
      </c>
      <c r="B5" s="7" t="inlineStr">
        <is>
          <t>14 policies, 3 with broad exclusions</t>
        </is>
      </c>
      <c r="C5" s="7" t="inlineStr">
        <is>
          <t>Graph export 2026-09-30</t>
        </is>
      </c>
      <c r="D5" s="7" t="inlineStr">
        <is>
          <t>Exclusions must be justified and time-bound</t>
        </is>
      </c>
      <c r="E5" s="7" t="inlineStr">
        <is>
          <t>Identity lead</t>
        </is>
      </c>
      <c r="F5" s="7" t="inlineStr">
        <is>
          <t>Delete this example row before use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
  <sheetViews>
    <sheetView workbookViewId="0">
      <pane ySplit="4" topLeftCell="A5" activePane="bottomLeft" state="frozen"/>
      <selection pane="bottomLeft" activeCell="A1" sqref="A1"/>
    </sheetView>
  </sheetViews>
  <sheetFormatPr baseColWidth="8" defaultRowHeight="15"/>
  <cols>
    <col width="30" customWidth="1" min="1" max="1"/>
    <col width="18" customWidth="1" min="2" max="2"/>
    <col width="16" customWidth="1" min="3" max="3"/>
    <col width="14" customWidth="1" min="4" max="4"/>
    <col width="14" customWidth="1" min="5" max="5"/>
    <col width="14" customWidth="1" min="6" max="6"/>
    <col width="26" customWidth="1" min="7" max="7"/>
    <col width="26" customWidth="1" min="8" max="8"/>
    <col width="20" customWidth="1" min="9" max="9"/>
    <col width="30" customWidth="1" min="10" max="10"/>
  </cols>
  <sheetData>
    <row r="1">
      <c r="A1" s="1" t="inlineStr">
        <is>
          <t>Network, connectivity and certificate infrastructure</t>
        </is>
      </c>
    </row>
    <row r="2">
      <c r="A2" s="2" t="inlineStr">
        <is>
          <t>One row per site or network zone, plus the PKI components. Confirm the endpoint list that applies to the target cloud before allow-listing.</t>
        </is>
      </c>
    </row>
    <row r="4" ht="30" customHeight="1">
      <c r="A4" s="3" t="inlineStr">
        <is>
          <t>Site or component</t>
        </is>
      </c>
      <c r="B4" s="3" t="inlineStr">
        <is>
          <t>Type</t>
        </is>
      </c>
      <c r="C4" s="3" t="inlineStr">
        <is>
          <t>Users or devices</t>
        </is>
      </c>
      <c r="D4" s="3" t="inlineStr">
        <is>
          <t>Bandwidth</t>
        </is>
      </c>
      <c r="E4" s="3" t="inlineStr">
        <is>
          <t>Proxy in path</t>
        </is>
      </c>
      <c r="F4" s="3" t="inlineStr">
        <is>
          <t>TLS inspection</t>
        </is>
      </c>
      <c r="G4" s="3" t="inlineStr">
        <is>
          <t>Required endpoints allow-listed</t>
        </is>
      </c>
      <c r="H4" s="3" t="inlineStr">
        <is>
          <t>Certificate dependency</t>
        </is>
      </c>
      <c r="I4" s="3" t="inlineStr">
        <is>
          <t>Owner</t>
        </is>
      </c>
      <c r="J4" s="3" t="inlineStr">
        <is>
          <t>Notes</t>
        </is>
      </c>
    </row>
    <row r="5">
      <c r="A5" s="7" t="inlineStr">
        <is>
          <t>Example: Regional office - Leeds</t>
        </is>
      </c>
      <c r="B5" s="7" t="inlineStr">
        <is>
          <t>Branch site</t>
        </is>
      </c>
      <c r="C5" s="7" t="inlineStr">
        <is>
          <t>420</t>
        </is>
      </c>
      <c r="D5" s="7" t="inlineStr">
        <is>
          <t>200 Mbps</t>
        </is>
      </c>
      <c r="E5" s="7" t="inlineStr">
        <is>
          <t>Yes</t>
        </is>
      </c>
      <c r="F5" s="7" t="inlineStr">
        <is>
          <t>Yes - exemption needed</t>
        </is>
      </c>
      <c r="G5" s="7" t="inlineStr">
        <is>
          <t>Not yet</t>
        </is>
      </c>
      <c r="H5" s="7" t="inlineStr">
        <is>
          <t>Wi-Fi certificate via SCEP</t>
        </is>
      </c>
      <c r="I5" s="7" t="inlineStr">
        <is>
          <t>Network lead</t>
        </is>
      </c>
      <c r="J5" s="7" t="inlineStr">
        <is>
          <t>Delete this example row before use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6" customWidth="1" min="1" max="1"/>
    <col width="26" customWidth="1" min="2" max="2"/>
    <col width="24" customWidth="1" min="3" max="3"/>
    <col width="26" customWidth="1" min="4" max="4"/>
    <col width="26" customWidth="1" min="5" max="5"/>
    <col width="26" customWidth="1" min="6" max="6"/>
    <col width="30" customWidth="1" min="7" max="7"/>
    <col width="20" customWidth="1" min="8" max="8"/>
  </cols>
  <sheetData>
    <row r="1">
      <c r="A1" s="1" t="inlineStr">
        <is>
          <t>Security baseline and control mapping</t>
        </is>
      </c>
    </row>
    <row r="2">
      <c r="A2" s="2" t="inlineStr">
        <is>
          <t>What is enforced today, what the accreditation requires, and the gap between them. Complete before section 10 of the HLD is drafted.</t>
        </is>
      </c>
    </row>
    <row r="4" ht="30" customHeight="1">
      <c r="A4" s="3" t="inlineStr">
        <is>
          <t>Control area</t>
        </is>
      </c>
      <c r="B4" s="3" t="inlineStr">
        <is>
          <t>Enforced today</t>
        </is>
      </c>
      <c r="C4" s="3" t="inlineStr">
        <is>
          <t>How</t>
        </is>
      </c>
      <c r="D4" s="3" t="inlineStr">
        <is>
          <t>Required baseline</t>
        </is>
      </c>
      <c r="E4" s="3" t="inlineStr">
        <is>
          <t>Framework reference</t>
        </is>
      </c>
      <c r="F4" s="3" t="inlineStr">
        <is>
          <t>Gap</t>
        </is>
      </c>
      <c r="G4" s="3" t="inlineStr">
        <is>
          <t>Evidence needed for accreditation</t>
        </is>
      </c>
      <c r="H4" s="3" t="inlineStr">
        <is>
          <t>Owner</t>
        </is>
      </c>
    </row>
    <row r="5">
      <c r="A5" s="7" t="inlineStr">
        <is>
          <t>Example: Disk encryption</t>
        </is>
      </c>
      <c r="B5" s="7" t="inlineStr">
        <is>
          <t>Yes - on laptops only</t>
        </is>
      </c>
      <c r="C5" s="7" t="inlineStr">
        <is>
          <t>GPO + MBAM</t>
        </is>
      </c>
      <c r="D5" s="7" t="inlineStr">
        <is>
          <t>All platforms, keys escrowed in cloud</t>
        </is>
      </c>
      <c r="E5" s="7" t="inlineStr">
        <is>
          <t>CIS Control 3; NCSC device guidance</t>
        </is>
      </c>
      <c r="F5" s="7" t="inlineStr">
        <is>
          <t>Desktops and macOS not covered</t>
        </is>
      </c>
      <c r="G5" s="7" t="inlineStr">
        <is>
          <t>Encryption compliance report</t>
        </is>
      </c>
      <c r="H5" s="7" t="inlineStr">
        <is>
          <t>Security architect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6"/>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30" customWidth="1" min="3" max="3"/>
    <col width="30" customWidth="1" min="4" max="4"/>
    <col width="13" customWidth="1" min="5" max="5"/>
    <col width="34" customWidth="1" min="6" max="6"/>
    <col width="34" customWidth="1" min="7" max="7"/>
    <col width="20" customWidth="1" min="8" max="8"/>
    <col width="12" customWidth="1" min="9" max="9"/>
  </cols>
  <sheetData>
    <row r="1">
      <c r="A1" s="1" t="inlineStr">
        <is>
          <t>Government environment, assurance and feature-gap check</t>
        </is>
      </c>
    </row>
    <row r="2">
      <c r="A2" s="2" t="inlineStr">
        <is>
          <t>Work through every capability the design may rely on and confirm its availability in the target cloud. Source: Microsoft Intune government service overview (see Sources).</t>
        </is>
      </c>
    </row>
    <row r="4" ht="30" customHeight="1">
      <c r="A4" s="3" t="inlineStr">
        <is>
          <t>Capability or obligation</t>
        </is>
      </c>
      <c r="B4" s="3" t="inlineStr">
        <is>
          <t>Needed?</t>
        </is>
      </c>
      <c r="C4" s="3" t="inlineStr">
        <is>
          <t>Availability in target cloud</t>
        </is>
      </c>
      <c r="D4" s="3" t="inlineStr">
        <is>
          <t>Source checked</t>
        </is>
      </c>
      <c r="E4" s="3" t="inlineStr">
        <is>
          <t>Date checked</t>
        </is>
      </c>
      <c r="F4" s="3" t="inlineStr">
        <is>
          <t>Impact if unavailable</t>
        </is>
      </c>
      <c r="G4" s="3" t="inlineStr">
        <is>
          <t>Mitigation or alternative</t>
        </is>
      </c>
      <c r="H4" s="3" t="inlineStr">
        <is>
          <t>Owner</t>
        </is>
      </c>
      <c r="I4" s="3" t="inlineStr">
        <is>
          <t>Status</t>
        </is>
      </c>
    </row>
    <row r="5">
      <c r="A5" s="4" t="inlineStr">
        <is>
          <t>Windows Autopilot (classic)</t>
        </is>
      </c>
      <c r="B5" s="4" t="inlineStr"/>
      <c r="C5" s="4" t="inlineStr">
        <is>
          <t>Not available in GCC High / DoD</t>
        </is>
      </c>
      <c r="D5" s="4" t="inlineStr">
        <is>
          <t>Intune government service overview</t>
        </is>
      </c>
      <c r="E5" s="4" t="inlineStr">
        <is>
          <t>2026-09-30</t>
        </is>
      </c>
      <c r="F5" s="4" t="inlineStr">
        <is>
          <t>No zero-touch provisioning by that route</t>
        </is>
      </c>
      <c r="G5" s="4" t="inlineStr">
        <is>
          <t>Assess Autopilot device preparation coverage</t>
        </is>
      </c>
      <c r="H5" s="4" t="inlineStr">
        <is>
          <t>Endpoint architect</t>
        </is>
      </c>
      <c r="I5" s="4" t="inlineStr">
        <is>
          <t>Open</t>
        </is>
      </c>
    </row>
    <row r="6">
      <c r="A6" s="4" t="inlineStr">
        <is>
          <t>Windows Autopatch and update policies</t>
        </is>
      </c>
      <c r="B6" s="4" t="inlineStr"/>
      <c r="C6" s="4" t="inlineStr">
        <is>
          <t>Planned, not yet available in GCC High / DoD</t>
        </is>
      </c>
      <c r="D6" s="4" t="inlineStr">
        <is>
          <t>Intune government service overview</t>
        </is>
      </c>
      <c r="E6" s="4" t="inlineStr">
        <is>
          <t>2026-09-30</t>
        </is>
      </c>
      <c r="F6" s="4" t="inlineStr">
        <is>
          <t>Update rings must be designed another way</t>
        </is>
      </c>
      <c r="G6" s="4" t="inlineStr">
        <is>
          <t>Design against available update controls</t>
        </is>
      </c>
      <c r="H6" s="4" t="inlineStr">
        <is>
          <t>Endpoint architect</t>
        </is>
      </c>
      <c r="I6" s="4" t="inlineStr">
        <is>
          <t>Open</t>
        </is>
      </c>
    </row>
    <row r="7">
      <c r="A7" s="4" t="inlineStr">
        <is>
          <t>Remediations (proactive scripts)</t>
        </is>
      </c>
      <c r="B7" s="4" t="inlineStr"/>
      <c r="C7" s="4" t="inlineStr">
        <is>
          <t>Not available in GCC High / DoD</t>
        </is>
      </c>
      <c r="D7" s="4" t="inlineStr">
        <is>
          <t>Intune government service overview</t>
        </is>
      </c>
      <c r="E7" s="4" t="inlineStr">
        <is>
          <t>2026-09-30</t>
        </is>
      </c>
      <c r="F7" s="4" t="inlineStr">
        <is>
          <t>No scripted self-healing</t>
        </is>
      </c>
      <c r="G7" s="4" t="inlineStr">
        <is>
          <t>Alternative tooling or accept</t>
        </is>
      </c>
      <c r="H7" s="4" t="inlineStr">
        <is>
          <t>Endpoint architect</t>
        </is>
      </c>
      <c r="I7" s="4" t="inlineStr">
        <is>
          <t>Open</t>
        </is>
      </c>
    </row>
    <row r="8">
      <c r="A8" s="4" t="inlineStr">
        <is>
          <t>ServiceNow connector</t>
        </is>
      </c>
      <c r="B8" s="4" t="inlineStr"/>
      <c r="C8" s="4" t="inlineStr">
        <is>
          <t>Not available in GCC High / DoD</t>
        </is>
      </c>
      <c r="D8" s="4" t="inlineStr">
        <is>
          <t>Intune government service overview</t>
        </is>
      </c>
      <c r="E8" s="4" t="inlineStr">
        <is>
          <t>2026-09-30</t>
        </is>
      </c>
      <c r="F8" s="4" t="inlineStr">
        <is>
          <t>No native ITSM device sync</t>
        </is>
      </c>
      <c r="G8" s="4" t="inlineStr">
        <is>
          <t>Graph-based integration</t>
        </is>
      </c>
      <c r="H8" s="4" t="inlineStr">
        <is>
          <t>ITSM owner</t>
        </is>
      </c>
      <c r="I8" s="4" t="inlineStr">
        <is>
          <t>Open</t>
        </is>
      </c>
    </row>
    <row r="9">
      <c r="A9" s="4" t="inlineStr">
        <is>
          <t>Remote Help</t>
        </is>
      </c>
      <c r="B9" s="4" t="inlineStr"/>
      <c r="C9" s="4" t="inlineStr">
        <is>
          <t>GCC High only; not supported in DoD</t>
        </is>
      </c>
      <c r="D9" s="4" t="inlineStr">
        <is>
          <t>Intune government service overview</t>
        </is>
      </c>
      <c r="E9" s="4" t="inlineStr">
        <is>
          <t>2026-09-30</t>
        </is>
      </c>
      <c r="F9" s="4" t="inlineStr">
        <is>
          <t>Remote assistance gap for DoD</t>
        </is>
      </c>
      <c r="G9" s="4" t="inlineStr">
        <is>
          <t>Alternative remote support tooling</t>
        </is>
      </c>
      <c r="H9" s="4" t="inlineStr">
        <is>
          <t>Service desk manager</t>
        </is>
      </c>
      <c r="I9" s="4" t="inlineStr">
        <is>
          <t>Open</t>
        </is>
      </c>
    </row>
    <row r="10">
      <c r="A10" s="4" t="inlineStr">
        <is>
          <t>Cloud PKI</t>
        </is>
      </c>
      <c r="B10" s="4" t="inlineStr"/>
      <c r="C10" s="4" t="inlineStr">
        <is>
          <t>GCC High only; not supported in DoD</t>
        </is>
      </c>
      <c r="D10" s="4" t="inlineStr">
        <is>
          <t>Intune government service overview</t>
        </is>
      </c>
      <c r="E10" s="4" t="inlineStr">
        <is>
          <t>2026-09-30</t>
        </is>
      </c>
      <c r="F10" s="4" t="inlineStr">
        <is>
          <t>Certificate issuance needs existing PKI</t>
        </is>
      </c>
      <c r="G10" s="4" t="inlineStr">
        <is>
          <t>SCEP or PKCS with connectors</t>
        </is>
      </c>
      <c r="H10" s="4" t="inlineStr">
        <is>
          <t>PKI owner</t>
        </is>
      </c>
      <c r="I10" s="4" t="inlineStr">
        <is>
          <t>Open</t>
        </is>
      </c>
    </row>
    <row r="11">
      <c r="A11" s="4" t="inlineStr">
        <is>
          <t>BIOS / DFCI management</t>
        </is>
      </c>
      <c r="B11" s="4" t="inlineStr"/>
      <c r="C11" s="4" t="inlineStr">
        <is>
          <t>Planned, not yet available in GCC High / DoD</t>
        </is>
      </c>
      <c r="D11" s="4" t="inlineStr">
        <is>
          <t>Intune government service overview</t>
        </is>
      </c>
      <c r="E11" s="4" t="inlineStr">
        <is>
          <t>2026-09-30</t>
        </is>
      </c>
      <c r="F11" s="4" t="inlineStr">
        <is>
          <t>No cloud firmware control</t>
        </is>
      </c>
      <c r="G11" s="4" t="inlineStr">
        <is>
          <t>Vendor tooling</t>
        </is>
      </c>
      <c r="H11" s="4" t="inlineStr">
        <is>
          <t>Endpoint architect</t>
        </is>
      </c>
      <c r="I11" s="4" t="inlineStr">
        <is>
          <t>Open</t>
        </is>
      </c>
    </row>
    <row r="12">
      <c r="A12" s="4" t="inlineStr">
        <is>
          <t>Device Health Attestation</t>
        </is>
      </c>
      <c r="B12" s="4" t="inlineStr"/>
      <c r="C12" s="4" t="inlineStr">
        <is>
          <t>Planned, not yet available in GCC High / DoD</t>
        </is>
      </c>
      <c r="D12" s="4" t="inlineStr">
        <is>
          <t>Intune government service overview</t>
        </is>
      </c>
      <c r="E12" s="4" t="inlineStr">
        <is>
          <t>2026-09-30</t>
        </is>
      </c>
      <c r="F12" s="4" t="inlineStr">
        <is>
          <t>Attestation-based compliance unavailable</t>
        </is>
      </c>
      <c r="G12" s="4" t="inlineStr">
        <is>
          <t>Alternative compliance signals</t>
        </is>
      </c>
      <c r="H12" s="4" t="inlineStr">
        <is>
          <t>Security architect</t>
        </is>
      </c>
      <c r="I12" s="4" t="inlineStr">
        <is>
          <t>Open</t>
        </is>
      </c>
    </row>
    <row r="13">
      <c r="A13" s="4" t="inlineStr">
        <is>
          <t>AVD multi-session / Windows 365</t>
        </is>
      </c>
      <c r="B13" s="4" t="inlineStr"/>
      <c r="C13" s="4" t="inlineStr">
        <is>
          <t>Multi-session not available in GCC High / DoD</t>
        </is>
      </c>
      <c r="D13" s="4" t="inlineStr">
        <is>
          <t>Intune government service overview</t>
        </is>
      </c>
      <c r="E13" s="4" t="inlineStr">
        <is>
          <t>2026-09-30</t>
        </is>
      </c>
      <c r="F13" s="4" t="inlineStr">
        <is>
          <t>Virtual desktop scope affected</t>
        </is>
      </c>
      <c r="G13" s="4" t="inlineStr">
        <is>
          <t>Confirm scope</t>
        </is>
      </c>
      <c r="H13" s="4" t="inlineStr">
        <is>
          <t>Platform lead</t>
        </is>
      </c>
      <c r="I13" s="4" t="inlineStr">
        <is>
          <t>Open</t>
        </is>
      </c>
    </row>
    <row r="14">
      <c r="A14" s="4" t="inlineStr">
        <is>
          <t>Power BI connector for the data warehouse</t>
        </is>
      </c>
      <c r="B14" s="4" t="inlineStr"/>
      <c r="C14" s="4" t="inlineStr">
        <is>
          <t>Not available in GCC High / DoD</t>
        </is>
      </c>
      <c r="D14" s="4" t="inlineStr">
        <is>
          <t>Intune government service overview</t>
        </is>
      </c>
      <c r="E14" s="4" t="inlineStr">
        <is>
          <t>2026-09-30</t>
        </is>
      </c>
      <c r="F14" s="4" t="inlineStr">
        <is>
          <t>Custom reporting route needed</t>
        </is>
      </c>
      <c r="G14" s="4" t="inlineStr">
        <is>
          <t>Graph or Log Analytics export</t>
        </is>
      </c>
      <c r="H14" s="4" t="inlineStr">
        <is>
          <t>Reporting lead</t>
        </is>
      </c>
      <c r="I14" s="4" t="inlineStr">
        <is>
          <t>Open</t>
        </is>
      </c>
    </row>
    <row r="15">
      <c r="A15" s="4" t="inlineStr">
        <is>
          <t>Commercial to government cloud migration</t>
        </is>
      </c>
      <c r="B15" s="4" t="inlineStr"/>
      <c r="C15" s="4" t="inlineStr">
        <is>
          <t>No built-in migration in either direction</t>
        </is>
      </c>
      <c r="D15" s="4" t="inlineStr">
        <is>
          <t>Intune government service overview</t>
        </is>
      </c>
      <c r="E15" s="4" t="inlineStr">
        <is>
          <t>2026-09-30</t>
        </is>
      </c>
      <c r="F15" s="4" t="inlineStr">
        <is>
          <t>Every device must unenrol and re-enrol</t>
        </is>
      </c>
      <c r="G15" s="4" t="inlineStr">
        <is>
          <t>Plan re-enrolment as a project phase</t>
        </is>
      </c>
      <c r="H15" s="4" t="inlineStr">
        <is>
          <t>Service owner</t>
        </is>
      </c>
      <c r="I15" s="4" t="inlineStr">
        <is>
          <t>Open</t>
        </is>
      </c>
    </row>
    <row r="16">
      <c r="A16" s="4" t="inlineStr">
        <is>
          <t>STIG hardening of the tenant</t>
        </is>
      </c>
      <c r="B16" s="4" t="inlineStr"/>
      <c r="C16" s="4" t="inlineStr">
        <is>
          <t>STIG library published on public.cyber.mil</t>
        </is>
      </c>
      <c r="D16" s="4" t="inlineStr">
        <is>
          <t>Intune government service overview</t>
        </is>
      </c>
      <c r="E16" s="4" t="inlineStr">
        <is>
          <t>2026-09-30</t>
        </is>
      </c>
      <c r="F16" s="4" t="inlineStr">
        <is>
          <t>Accreditation finding</t>
        </is>
      </c>
      <c r="G16" s="4" t="inlineStr">
        <is>
          <t>Apply applicable MDM/EMM STIG</t>
        </is>
      </c>
      <c r="H16" s="4" t="inlineStr">
        <is>
          <t>Security architect</t>
        </is>
      </c>
      <c r="I16" s="4" t="inlineStr">
        <is>
          <t>Open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5"/>
  <sheetViews>
    <sheetView workbookViewId="0">
      <pane ySplit="4" topLeftCell="A5" activePane="bottomLeft" state="frozen"/>
      <selection pane="bottomLeft" activeCell="A1" sqref="A1"/>
    </sheetView>
  </sheetViews>
  <sheetFormatPr baseColWidth="8" defaultRowHeight="15"/>
  <cols>
    <col width="11" customWidth="1" min="1" max="1"/>
    <col width="24" customWidth="1" min="2" max="2"/>
    <col width="12" customWidth="1" min="3" max="3"/>
    <col width="22" customWidth="1" min="4" max="4"/>
    <col width="26" customWidth="1" min="5" max="5"/>
    <col width="34" customWidth="1" min="6" max="6"/>
    <col width="18" customWidth="1" min="7" max="7"/>
    <col width="18" customWidth="1" min="8" max="8"/>
    <col width="18" customWidth="1" min="9" max="9"/>
    <col width="22" customWidth="1" min="10" max="10"/>
    <col width="30" customWidth="1" min="11" max="11"/>
  </cols>
  <sheetData>
    <row r="1">
      <c r="A1" s="1" t="inlineStr">
        <is>
          <t>Persona catalogue</t>
        </is>
      </c>
    </row>
    <row r="2">
      <c r="A2" s="2" t="inlineStr">
        <is>
          <t>One row per persona. Personas drive configuration profiles, application sets and compliance policy, so complete this before design starts.</t>
        </is>
      </c>
    </row>
    <row r="4" ht="30" customHeight="1">
      <c r="A4" s="3" t="inlineStr">
        <is>
          <t>Persona ID</t>
        </is>
      </c>
      <c r="B4" s="3" t="inlineStr">
        <is>
          <t>Persona</t>
        </is>
      </c>
      <c r="C4" s="3" t="inlineStr">
        <is>
          <t>Population</t>
        </is>
      </c>
      <c r="D4" s="3" t="inlineStr">
        <is>
          <t>Agencies</t>
        </is>
      </c>
      <c r="E4" s="3" t="inlineStr">
        <is>
          <t>Device type and ownership</t>
        </is>
      </c>
      <c r="F4" s="3" t="inlineStr">
        <is>
          <t>Key applications</t>
        </is>
      </c>
      <c r="G4" s="3" t="inlineStr">
        <is>
          <t>Data classification</t>
        </is>
      </c>
      <c r="H4" s="3" t="inlineStr">
        <is>
          <t>Connectivity</t>
        </is>
      </c>
      <c r="I4" s="3" t="inlineStr">
        <is>
          <t>Admin rights needed</t>
        </is>
      </c>
      <c r="J4" s="3" t="inlineStr">
        <is>
          <t>Accessibility needs</t>
        </is>
      </c>
      <c r="K4" s="3" t="inlineStr">
        <is>
          <t>Notes</t>
        </is>
      </c>
    </row>
    <row r="5">
      <c r="A5" s="7" t="inlineStr">
        <is>
          <t>P-01</t>
        </is>
      </c>
      <c r="B5" s="7" t="inlineStr">
        <is>
          <t>Example: Field inspector</t>
        </is>
      </c>
      <c r="C5" s="7" t="inlineStr">
        <is>
          <t>620</t>
        </is>
      </c>
      <c r="D5" s="7" t="inlineStr">
        <is>
          <t>Regulatory directorate</t>
        </is>
      </c>
      <c r="E5" s="7" t="inlineStr">
        <is>
          <t>Corporate Windows laptop + iOS phone</t>
        </is>
      </c>
      <c r="F5" s="7" t="inlineStr">
        <is>
          <t>Case management, Teams, camera capture</t>
        </is>
      </c>
      <c r="G5" s="7" t="inlineStr">
        <is>
          <t>OFFICIAL-SENSITIVE</t>
        </is>
      </c>
      <c r="H5" s="7" t="inlineStr">
        <is>
          <t>Mobile, often offline</t>
        </is>
      </c>
      <c r="I5" s="7" t="inlineStr">
        <is>
          <t>No</t>
        </is>
      </c>
      <c r="J5" s="7" t="inlineStr">
        <is>
          <t>Screen reader for 12 users</t>
        </is>
      </c>
      <c r="K5" s="7" t="inlineStr">
        <is>
          <t>Delete this example row before use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5"/>
  <sheetViews>
    <sheetView workbookViewId="0">
      <pane ySplit="4" topLeftCell="A5" activePane="bottomLeft" state="frozen"/>
      <selection pane="bottomLeft" activeCell="A1" sqref="A1"/>
    </sheetView>
  </sheetViews>
  <sheetFormatPr baseColWidth="8" defaultRowHeight="15"/>
  <cols>
    <col width="30" customWidth="1" min="1" max="1"/>
    <col width="34" customWidth="1" min="2" max="2"/>
    <col width="14" customWidth="1" min="3" max="3"/>
    <col width="12" customWidth="1" min="4" max="4"/>
    <col width="13" customWidth="1" min="5" max="5"/>
    <col width="12" customWidth="1" min="6" max="6"/>
    <col width="16" customWidth="1" min="7" max="7"/>
    <col width="26" customWidth="1" min="8" max="8"/>
    <col width="20" customWidth="1" min="9" max="9"/>
  </cols>
  <sheetData>
    <row r="1">
      <c r="A1" s="1" t="inlineStr">
        <is>
          <t>Licensing and entitlement check</t>
        </is>
      </c>
    </row>
    <row r="2">
      <c r="A2" s="2" t="inlineStr">
        <is>
          <t>What is held, what each required capability needs, and the gap. Confirm current packaging with Microsoft - it changes.</t>
        </is>
      </c>
    </row>
    <row r="4" ht="30" customHeight="1">
      <c r="A4" s="3" t="inlineStr">
        <is>
          <t>Capability</t>
        </is>
      </c>
      <c r="B4" s="3" t="inlineStr">
        <is>
          <t>Licence or SKU required</t>
        </is>
      </c>
      <c r="C4" s="3" t="inlineStr">
        <is>
          <t>Held today</t>
        </is>
      </c>
      <c r="D4" s="3" t="inlineStr">
        <is>
          <t>Count held</t>
        </is>
      </c>
      <c r="E4" s="3" t="inlineStr">
        <is>
          <t>Count needed</t>
        </is>
      </c>
      <c r="F4" s="3" t="inlineStr">
        <is>
          <t>Gap</t>
        </is>
      </c>
      <c r="G4" s="3" t="inlineStr">
        <is>
          <t>Annual cost impact</t>
        </is>
      </c>
      <c r="H4" s="3" t="inlineStr">
        <is>
          <t>Source checked</t>
        </is>
      </c>
      <c r="I4" s="3" t="inlineStr">
        <is>
          <t>Owner</t>
        </is>
      </c>
    </row>
    <row r="5">
      <c r="A5" s="7" t="inlineStr">
        <is>
          <t>Example: Conditional Access</t>
        </is>
      </c>
      <c r="B5" s="7" t="inlineStr">
        <is>
          <t>Microsoft Entra ID P1</t>
        </is>
      </c>
      <c r="C5" s="7" t="inlineStr">
        <is>
          <t>Yes</t>
        </is>
      </c>
      <c r="D5" s="7" t="n">
        <v>8400</v>
      </c>
      <c r="E5" s="7" t="n">
        <v>9200</v>
      </c>
      <c r="F5" s="7" t="inlineStr">
        <is>
          <t>800</t>
        </is>
      </c>
      <c r="G5" s="7" t="inlineStr">
        <is>
          <t>To be confirmed</t>
        </is>
      </c>
      <c r="H5" s="7" t="inlineStr">
        <is>
          <t>M365 admin centre licence report</t>
        </is>
      </c>
      <c r="I5" s="7" t="inlineStr">
        <is>
          <t>Licensing manager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
  <sheetViews>
    <sheetView workbookViewId="0">
      <pane ySplit="4" topLeftCell="A5" activePane="bottomLeft" state="frozen"/>
      <selection pane="bottomLeft" activeCell="A1" sqref="A1"/>
    </sheetView>
  </sheetViews>
  <sheetFormatPr baseColWidth="8" defaultRowHeight="15"/>
  <cols>
    <col width="12" customWidth="1" min="1" max="1"/>
    <col width="26" customWidth="1" min="2" max="2"/>
    <col width="22" customWidth="1" min="3" max="3"/>
    <col width="20" customWidth="1" min="4" max="4"/>
    <col width="13" customWidth="1" min="5" max="5"/>
    <col width="30" customWidth="1" min="6" max="6"/>
    <col width="30" customWidth="1" min="7" max="7"/>
    <col width="13" customWidth="1" min="8" max="8"/>
    <col width="13" customWidth="1" min="9" max="9"/>
    <col width="18" customWidth="1" min="10" max="10"/>
    <col width="30" customWidth="1" min="11" max="11"/>
  </cols>
  <sheetData>
    <row r="1">
      <c r="A1" s="1" t="inlineStr">
        <is>
          <t>Rollout rings and pilot design</t>
        </is>
      </c>
    </row>
    <row r="2">
      <c r="A2" s="2" t="inlineStr">
        <is>
          <t>Ring structure, populations and dates. Note the constraints on the deployments feature in public preview before depending on it.</t>
        </is>
      </c>
    </row>
    <row r="4" ht="30" customHeight="1">
      <c r="A4" s="3" t="inlineStr">
        <is>
          <t>Ring</t>
        </is>
      </c>
      <c r="B4" s="3" t="inlineStr">
        <is>
          <t>Purpose</t>
        </is>
      </c>
      <c r="C4" s="3" t="inlineStr">
        <is>
          <t>Population</t>
        </is>
      </c>
      <c r="D4" s="3" t="inlineStr">
        <is>
          <t>Agencies</t>
        </is>
      </c>
      <c r="E4" s="3" t="inlineStr">
        <is>
          <t>Device count</t>
        </is>
      </c>
      <c r="F4" s="3" t="inlineStr">
        <is>
          <t>Entry criteria</t>
        </is>
      </c>
      <c r="G4" s="3" t="inlineStr">
        <is>
          <t>Exit criteria</t>
        </is>
      </c>
      <c r="H4" s="3" t="inlineStr">
        <is>
          <t>Planned start</t>
        </is>
      </c>
      <c r="I4" s="3" t="inlineStr">
        <is>
          <t>Planned end</t>
        </is>
      </c>
      <c r="J4" s="3" t="inlineStr">
        <is>
          <t>Owner</t>
        </is>
      </c>
      <c r="K4" s="3" t="inlineStr">
        <is>
          <t>Notes</t>
        </is>
      </c>
    </row>
    <row r="5">
      <c r="A5" s="7" t="inlineStr">
        <is>
          <t>Ring 0</t>
        </is>
      </c>
      <c r="B5" s="7" t="inlineStr">
        <is>
          <t>Example: IT build and break</t>
        </is>
      </c>
      <c r="C5" s="7" t="inlineStr">
        <is>
          <t>Endpoint team</t>
        </is>
      </c>
      <c r="D5" s="7" t="inlineStr">
        <is>
          <t>Central IT</t>
        </is>
      </c>
      <c r="E5" s="7" t="n">
        <v>50</v>
      </c>
      <c r="F5" s="7" t="inlineStr">
        <is>
          <t>Test tenant validated complete</t>
        </is>
      </c>
      <c r="G5" s="7" t="inlineStr">
        <is>
          <t>No P1 incidents for 5 working days</t>
        </is>
      </c>
      <c r="H5" s="7" t="inlineStr">
        <is>
          <t>2026-11-03</t>
        </is>
      </c>
      <c r="I5" s="7" t="inlineStr">
        <is>
          <t>2026-11-17</t>
        </is>
      </c>
      <c r="J5" s="7" t="inlineStr">
        <is>
          <t>Endpoint team lead</t>
        </is>
      </c>
      <c r="K5" s="7" t="inlineStr">
        <is>
          <t>Microsoft advises pilots should not be executives; delete this example row</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8"/>
  <sheetViews>
    <sheetView workbookViewId="0">
      <pane ySplit="4" topLeftCell="A5" activePane="bottomLeft" state="frozen"/>
      <selection pane="bottomLeft" activeCell="A1" sqref="A1"/>
    </sheetView>
  </sheetViews>
  <sheetFormatPr baseColWidth="8" defaultRowHeight="15"/>
  <cols>
    <col width="30" customWidth="1" min="1" max="1"/>
    <col width="22" customWidth="1" min="2" max="2"/>
    <col width="18" customWidth="1" min="3" max="3"/>
    <col width="40" customWidth="1" min="4" max="4"/>
    <col width="34" customWidth="1" min="5" max="5"/>
    <col width="22" customWidth="1" min="6" max="6"/>
    <col width="40" customWidth="1" min="7" max="7"/>
    <col width="44" customWidth="1" min="8" max="8"/>
  </cols>
  <sheetData>
    <row r="1">
      <c r="A1" s="1" t="inlineStr">
        <is>
          <t>Data collection tooling</t>
        </is>
      </c>
    </row>
    <row r="2">
      <c r="A2" s="2" t="inlineStr">
        <is>
          <t>How each part of the discovery is actually gathered. Check the caveat column before committing to a tool. Read-only permissions are sufficient for discovery.</t>
        </is>
      </c>
    </row>
    <row r="4" ht="30" customHeight="1">
      <c r="A4" s="3" t="inlineStr">
        <is>
          <t>Tool</t>
        </is>
      </c>
      <c r="B4" s="3" t="inlineStr">
        <is>
          <t>Publisher</t>
        </is>
      </c>
      <c r="C4" s="3" t="inlineStr">
        <is>
          <t>Official or community</t>
        </is>
      </c>
      <c r="D4" s="3" t="inlineStr">
        <is>
          <t>What it gathers</t>
        </is>
      </c>
      <c r="E4" s="3" t="inlineStr">
        <is>
          <t>Access or permissions needed</t>
        </is>
      </c>
      <c r="F4" s="3" t="inlineStr">
        <is>
          <t>Output</t>
        </is>
      </c>
      <c r="G4" s="3" t="inlineStr">
        <is>
          <t>Caveats</t>
        </is>
      </c>
      <c r="H4" s="3" t="inlineStr">
        <is>
          <t>Reference</t>
        </is>
      </c>
    </row>
    <row r="5">
      <c r="A5" s="4" t="inlineStr">
        <is>
          <t>Microsoft Intune admin centre reports</t>
        </is>
      </c>
      <c r="B5" s="4" t="inlineStr">
        <is>
          <t>Microsoft</t>
        </is>
      </c>
      <c r="C5" s="4" t="inlineStr">
        <is>
          <t>Official</t>
        </is>
      </c>
      <c r="D5" s="4" t="inlineStr">
        <is>
          <t>Device, compliance, app install and enrolment failure reporting</t>
        </is>
      </c>
      <c r="E5" s="4" t="inlineStr">
        <is>
          <t>Intune Reader role</t>
        </is>
      </c>
      <c r="F5" s="4" t="inlineStr">
        <is>
          <t>CSV export</t>
        </is>
      </c>
      <c r="G5" s="4" t="inlineStr">
        <is>
          <t>Only covers devices already enrolled</t>
        </is>
      </c>
      <c r="H5" s="4" t="inlineStr">
        <is>
          <t>https://learn.microsoft.com/intune/device-management/reports/overview</t>
        </is>
      </c>
    </row>
    <row r="6">
      <c r="A6" s="4" t="inlineStr">
        <is>
          <t>Endpoint analytics - Work from anywhere</t>
        </is>
      </c>
      <c r="B6" s="4" t="inlineStr">
        <is>
          <t>Microsoft</t>
        </is>
      </c>
      <c r="C6" s="4" t="inlineStr">
        <is>
          <t>Official</t>
        </is>
      </c>
      <c r="D6" s="4" t="inlineStr">
        <is>
          <t>Windows 11 hardware readiness, cloud management and identity posture</t>
        </is>
      </c>
      <c r="E6" s="4" t="inlineStr">
        <is>
          <t>Intune Reader; devices must be enrolled or co-managed</t>
        </is>
      </c>
      <c r="F6" s="4" t="inlineStr">
        <is>
          <t>Portal and CSV</t>
        </is>
      </c>
      <c r="G6" s="4" t="inlineStr">
        <is>
          <t>A device only appears if it has sent an event in the last 29 days; readiness does not affect the score</t>
        </is>
      </c>
      <c r="H6" s="4" t="inlineStr">
        <is>
          <t>https://learn.microsoft.com/intune/analytics/work-from-anywhere</t>
        </is>
      </c>
    </row>
    <row r="7">
      <c r="A7" s="4" t="inlineStr">
        <is>
          <t>Group Policy analytics</t>
        </is>
      </c>
      <c r="B7" s="4" t="inlineStr">
        <is>
          <t>Microsoft</t>
        </is>
      </c>
      <c r="C7" s="4" t="inlineStr">
        <is>
          <t>Official</t>
        </is>
      </c>
      <c r="D7" s="4" t="inlineStr">
        <is>
          <t>Which GPO settings translate to MDM, and which are deprecated or unsupported</t>
        </is>
      </c>
      <c r="E7" s="4" t="inlineStr">
        <is>
          <t>Intune administrator; GPO XML export</t>
        </is>
      </c>
      <c r="F7" s="4" t="inlineStr">
        <is>
          <t>Portal report; can generate a settings catalogue policy</t>
        </is>
      </c>
      <c r="G7" s="4" t="inlineStr">
        <is>
          <t>Analyses settings, not intent - an unowned GPO still needs a human decision</t>
        </is>
      </c>
      <c r="H7" s="4" t="inlineStr">
        <is>
          <t>https://learn.microsoft.com/intune/device-configuration/import-group-policy-analytics</t>
        </is>
      </c>
    </row>
    <row r="8">
      <c r="A8" s="4" t="inlineStr">
        <is>
          <t>Get-GPOReport (Group Policy PowerShell)</t>
        </is>
      </c>
      <c r="B8" s="4" t="inlineStr">
        <is>
          <t>Microsoft</t>
        </is>
      </c>
      <c r="C8" s="4" t="inlineStr">
        <is>
          <t>Official</t>
        </is>
      </c>
      <c r="D8" s="4" t="inlineStr">
        <is>
          <t>Complete GPO export in XML or HTML</t>
        </is>
      </c>
      <c r="E8" s="4" t="inlineStr">
        <is>
          <t>Domain read access</t>
        </is>
      </c>
      <c r="F8" s="4" t="inlineStr">
        <is>
          <t>XML / HTML</t>
        </is>
      </c>
      <c r="G8" s="4" t="inlineStr">
        <is>
          <t>Produces volume, not priority - pair with an ownership register</t>
        </is>
      </c>
      <c r="H8" s="4" t="inlineStr">
        <is>
          <t>Built into RSAT</t>
        </is>
      </c>
    </row>
    <row r="9">
      <c r="A9" s="4" t="inlineStr">
        <is>
          <t>Microsoft Graph PowerShell SDK</t>
        </is>
      </c>
      <c r="B9" s="4" t="inlineStr">
        <is>
          <t>Microsoft</t>
        </is>
      </c>
      <c r="C9" s="4" t="inlineStr">
        <is>
          <t>Official</t>
        </is>
      </c>
      <c r="D9" s="4" t="inlineStr">
        <is>
          <t>Anything in Intune and Entra: devices, policies, groups, assignments, Conditional Access</t>
        </is>
      </c>
      <c r="E9" s="4" t="inlineStr">
        <is>
          <t>Read-only Graph scopes such as DeviceManagementConfiguration.Read.All</t>
        </is>
      </c>
      <c r="F9" s="4" t="inlineStr">
        <is>
          <t>JSON / CSV</t>
        </is>
      </c>
      <c r="G9" s="4" t="inlineStr">
        <is>
          <t>Beta endpoints change without notice; pin what you rely on</t>
        </is>
      </c>
      <c r="H9" s="4" t="inlineStr">
        <is>
          <t>https://learn.microsoft.com/powershell/microsoftgraph/installation</t>
        </is>
      </c>
    </row>
    <row r="10">
      <c r="A10" s="4" t="inlineStr">
        <is>
          <t>Configuration Manager reports and SQL views</t>
        </is>
      </c>
      <c r="B10" s="4" t="inlineStr">
        <is>
          <t>Microsoft</t>
        </is>
      </c>
      <c r="C10" s="4" t="inlineStr">
        <is>
          <t>Official</t>
        </is>
      </c>
      <c r="D10" s="4" t="inlineStr">
        <is>
          <t>Applications, packages, task sequences, collections, client health, deployment counts</t>
        </is>
      </c>
      <c r="E10" s="4" t="inlineStr">
        <is>
          <t>ConfigMgr read access; SQL read for direct queries</t>
        </is>
      </c>
      <c r="F10" s="4" t="inlineStr">
        <is>
          <t>SSRS / CSV</t>
        </is>
      </c>
      <c r="G10" s="4" t="inlineStr">
        <is>
          <t>Query views (v_Package, v_Advertisement, v_TaskSequencePackage), not tables</t>
        </is>
      </c>
      <c r="H10" s="4" t="inlineStr">
        <is>
          <t>https://www.systemcenterdudes.com/sccm-to-microsoft-intune-migration-identifying-applications-packages-and-task-sequences/</t>
        </is>
      </c>
    </row>
    <row r="11">
      <c r="A11" s="4" t="inlineStr">
        <is>
          <t>Intune tenant documentation script</t>
        </is>
      </c>
      <c r="B11" s="4" t="inlineStr">
        <is>
          <t>Microsoft</t>
        </is>
      </c>
      <c r="C11" s="4" t="inlineStr">
        <is>
          <t>Official but archived</t>
        </is>
      </c>
      <c r="D11" s="4" t="inlineStr">
        <is>
          <t>Read-only Markdown inventory of around 30 configuration categories, plus reverse assignment reports</t>
        </is>
      </c>
      <c r="E11" s="4" t="inlineStr">
        <is>
          <t>Eight read-only Graph scopes; PowerShell 7+</t>
        </is>
      </c>
      <c r="F11" s="4" t="inlineStr">
        <is>
          <t>Markdown</t>
        </is>
      </c>
      <c r="G11" s="4" t="inlineStr">
        <is>
          <t>Repository was archived on 22 September 2026 and is read-only - usable, but unmaintained</t>
        </is>
      </c>
      <c r="H11" s="4" t="inlineStr">
        <is>
          <t>https://github.com/microsoft/intune-tenant-doc</t>
        </is>
      </c>
    </row>
    <row r="12">
      <c r="A12" s="4" t="inlineStr">
        <is>
          <t>IntuneCD</t>
        </is>
      </c>
      <c r="B12" s="4" t="inlineStr">
        <is>
          <t>Community (Tobias Almen)</t>
        </is>
      </c>
      <c r="C12" s="4" t="inlineStr">
        <is>
          <t>Community</t>
        </is>
      </c>
      <c r="D12" s="4" t="inlineStr">
        <is>
          <t>Backup, documentation and continuous delivery of Intune configuration</t>
        </is>
      </c>
      <c r="E12" s="4" t="inlineStr">
        <is>
          <t>Entra app registration with Graph permissions</t>
        </is>
      </c>
      <c r="F12" s="4" t="inlineStr">
        <is>
          <t>YAML / JSON plus Markdown as-built</t>
        </is>
      </c>
      <c r="G12" s="4" t="inlineStr">
        <is>
          <t>Third-party code - review before running against a government tenant</t>
        </is>
      </c>
      <c r="H12" s="4" t="inlineStr">
        <is>
          <t>https://stealthpuppy.com/automate-intune-documentation-github/</t>
        </is>
      </c>
    </row>
    <row r="13">
      <c r="A13" s="4" t="inlineStr">
        <is>
          <t>IntuneManagement</t>
        </is>
      </c>
      <c r="B13" s="4" t="inlineStr">
        <is>
          <t>Community (Mikael Karlsson)</t>
        </is>
      </c>
      <c r="C13" s="4" t="inlineStr">
        <is>
          <t>Community</t>
        </is>
      </c>
      <c r="D13" s="4" t="inlineStr">
        <is>
          <t>Export, import, copy, compare and document 30+ object types across tenants</t>
        </is>
      </c>
      <c r="E13" s="4" t="inlineStr">
        <is>
          <t>Graph permissions via app registration</t>
        </is>
      </c>
      <c r="F13" s="4" t="inlineStr">
        <is>
          <t>JSON plus documentation output</t>
        </is>
      </c>
      <c r="G13" s="4" t="inlineStr">
        <is>
          <t>Cross-tenant import has known gaps - see the Microsoft export limitations table</t>
        </is>
      </c>
      <c r="H13" s="4" t="inlineStr">
        <is>
          <t>https://github.com/Micke-K/IntuneManagement</t>
        </is>
      </c>
    </row>
    <row r="14">
      <c r="A14" s="4" t="inlineStr">
        <is>
          <t>Microsoft 365 admin centre setup guides</t>
        </is>
      </c>
      <c r="B14" s="4" t="inlineStr">
        <is>
          <t>Microsoft</t>
        </is>
      </c>
      <c r="C14" s="4" t="inlineStr">
        <is>
          <t>Official</t>
        </is>
      </c>
      <c r="D14" s="4" t="inlineStr">
        <is>
          <t>Environment-tailored setup and readiness guidance</t>
        </is>
      </c>
      <c r="E14" s="4" t="inlineStr">
        <is>
          <t>Global Reader at minimum</t>
        </is>
      </c>
      <c r="F14" s="4" t="inlineStr">
        <is>
          <t>Portal guidance</t>
        </is>
      </c>
      <c r="G14" s="4" t="inlineStr">
        <is>
          <t>Guidance, not an inventory</t>
        </is>
      </c>
      <c r="H14" s="4" t="inlineStr">
        <is>
          <t>https://learn.microsoft.com/microsoft-365/enterprise/setup-guides-for-microsoft-365</t>
        </is>
      </c>
    </row>
    <row r="15">
      <c r="A15" s="4" t="inlineStr">
        <is>
          <t>IDPDIG table templates</t>
        </is>
      </c>
      <c r="B15" s="4" t="inlineStr">
        <is>
          <t>Microsoft</t>
        </is>
      </c>
      <c r="C15" s="4" t="inlineStr">
        <is>
          <t>Official</t>
        </is>
      </c>
      <c r="D15" s="4" t="inlineStr">
        <is>
          <t>Word table templates for planning, design, current-environment assessment, and test and validation</t>
        </is>
      </c>
      <c r="E15" s="4" t="inlineStr">
        <is>
          <t>None - public download</t>
        </is>
      </c>
      <c r="F15" s="4" t="inlineStr">
        <is>
          <t>DOCX</t>
        </is>
      </c>
      <c r="G15" s="4" t="inlineStr">
        <is>
          <t>Version 1.0, published 15 July 2024 - predates the 2026 government feature changes</t>
        </is>
      </c>
      <c r="H15" s="4" t="inlineStr">
        <is>
          <t>https://www.microsoft.com/download/details.aspx?id=103005</t>
        </is>
      </c>
    </row>
    <row r="16">
      <c r="A16" s="4" t="inlineStr">
        <is>
          <t>Defender for Endpoint device inventory</t>
        </is>
      </c>
      <c r="B16" s="4" t="inlineStr">
        <is>
          <t>Microsoft</t>
        </is>
      </c>
      <c r="C16" s="4" t="inlineStr">
        <is>
          <t>Official</t>
        </is>
      </c>
      <c r="D16" s="4" t="inlineStr">
        <is>
          <t>Discovered and onboarded devices, including unmanaged devices on the network</t>
        </is>
      </c>
      <c r="E16" s="4" t="inlineStr">
        <is>
          <t>Defender Reader role</t>
        </is>
      </c>
      <c r="F16" s="4" t="inlineStr">
        <is>
          <t>Portal / API</t>
        </is>
      </c>
      <c r="G16" s="4" t="inlineStr">
        <is>
          <t>Good for finding the shadow estate that MDM cannot see</t>
        </is>
      </c>
      <c r="H16" s="4" t="inlineStr">
        <is>
          <t>https://learn.microsoft.com/defender-endpoint/</t>
        </is>
      </c>
    </row>
    <row r="17">
      <c r="A17" s="4" t="inlineStr">
        <is>
          <t>Entra ID device and sign-in reporting</t>
        </is>
      </c>
      <c r="B17" s="4" t="inlineStr">
        <is>
          <t>Microsoft</t>
        </is>
      </c>
      <c r="C17" s="4" t="inlineStr">
        <is>
          <t>Official</t>
        </is>
      </c>
      <c r="D17" s="4" t="inlineStr">
        <is>
          <t>Join state, registration, ownership and which devices access resources</t>
        </is>
      </c>
      <c r="E17" s="4" t="inlineStr">
        <is>
          <t>Entra Reader; sign-in logs need P1</t>
        </is>
      </c>
      <c r="F17" s="4" t="inlineStr">
        <is>
          <t>CSV / Log Analytics</t>
        </is>
      </c>
      <c r="G17" s="4" t="inlineStr">
        <is>
          <t>Registered is not the same as managed - do not conflate</t>
        </is>
      </c>
      <c r="H17" s="4" t="inlineStr">
        <is>
          <t>https://learn.microsoft.com/entra/identity/devices/</t>
        </is>
      </c>
    </row>
    <row r="18">
      <c r="A18" s="4" t="inlineStr">
        <is>
          <t>Elevation reporting in reporting-only mode</t>
        </is>
      </c>
      <c r="B18" s="4" t="inlineStr">
        <is>
          <t>Microsoft</t>
        </is>
      </c>
      <c r="C18" s="4" t="inlineStr">
        <is>
          <t>Official</t>
        </is>
      </c>
      <c r="D18" s="4" t="inlineStr">
        <is>
          <t>Which applications users actually elevate, by user and device, before rights are removed</t>
        </is>
      </c>
      <c r="E18" s="4" t="inlineStr">
        <is>
          <t>Intune administrator; EPM entitlement</t>
        </is>
      </c>
      <c r="F18" s="4" t="inlineStr">
        <is>
          <t>Portal dashboard</t>
        </is>
      </c>
      <c r="G18" s="4" t="inlineStr">
        <is>
          <t>Run for 2-4 weeks before deciding; needs the Intune Suite or EPM add-on</t>
        </is>
      </c>
      <c r="H18" s="4" t="inlineStr">
        <is>
          <t>https://msendpointmgr.com/2026/06/15/epm-part-1-the-end-of-local-admin-how-intune-endpoint-privilege-management-solves-a-problem-it-has-lived-with-for-decades/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7" customWidth="1" min="1" max="1"/>
    <col width="30" customWidth="1" min="2" max="2"/>
    <col width="11" customWidth="1" min="3" max="3"/>
    <col width="40" customWidth="1" min="4" max="4"/>
    <col width="40" customWidth="1" min="5" max="5"/>
    <col width="40" customWidth="1" min="6" max="6"/>
    <col width="20" customWidth="1" min="7" max="7"/>
  </cols>
  <sheetData>
    <row r="1">
      <c r="A1" s="1" t="inlineStr">
        <is>
          <t>Workshop and interview pack</t>
        </is>
      </c>
    </row>
    <row r="2">
      <c r="A2" s="2" t="inlineStr">
        <is>
          <t>Nine sessions covering the register. Run W1 first; W7 needs the outputs of W2, W3 and W6.</t>
        </is>
      </c>
    </row>
    <row r="4" ht="30" customHeight="1">
      <c r="A4" s="3" t="inlineStr">
        <is>
          <t>Ref</t>
        </is>
      </c>
      <c r="B4" s="3" t="inlineStr">
        <is>
          <t>Workshop</t>
        </is>
      </c>
      <c r="C4" s="3" t="inlineStr">
        <is>
          <t>Duration</t>
        </is>
      </c>
      <c r="D4" s="3" t="inlineStr">
        <is>
          <t>Attendees</t>
        </is>
      </c>
      <c r="E4" s="3" t="inlineStr">
        <is>
          <t>Inputs needed beforehand</t>
        </is>
      </c>
      <c r="F4" s="3" t="inlineStr">
        <is>
          <t>Outputs</t>
        </is>
      </c>
      <c r="G4" s="3" t="inlineStr">
        <is>
          <t>Register rows closed</t>
        </is>
      </c>
    </row>
    <row r="5">
      <c r="A5" s="4" t="inlineStr">
        <is>
          <t>W1</t>
        </is>
      </c>
      <c r="B5" s="4" t="inlineStr">
        <is>
          <t>Vision, scope and success measures</t>
        </is>
      </c>
      <c r="C5" s="4" t="inlineStr">
        <is>
          <t>2 hours</t>
        </is>
      </c>
      <c r="D5" s="4" t="inlineStr">
        <is>
          <t>SRO, service owner, enterprise architect, finance, commercial</t>
        </is>
      </c>
      <c r="E5" s="4" t="inlineStr">
        <is>
          <t>Business case, existing strategy, contract register</t>
        </is>
      </c>
      <c r="F5" s="4" t="inlineStr">
        <is>
          <t>Agreed scope, objectives, SMART measures, decision makers</t>
        </is>
      </c>
      <c r="G5" s="4" t="inlineStr">
        <is>
          <t>A01-A12, E01-E10</t>
        </is>
      </c>
    </row>
    <row r="6">
      <c r="A6" s="4" t="inlineStr">
        <is>
          <t>W2</t>
        </is>
      </c>
      <c r="B6" s="4" t="inlineStr">
        <is>
          <t>Device estate and personas</t>
        </is>
      </c>
      <c r="C6" s="4" t="inlineStr">
        <is>
          <t>3 hours</t>
        </is>
      </c>
      <c r="D6" s="4" t="inlineStr">
        <is>
          <t>Endpoint team, asset manager, agency IT leads</t>
        </is>
      </c>
      <c r="E6" s="4" t="inlineStr">
        <is>
          <t>Device exports, Endpoint analytics readiness data</t>
        </is>
      </c>
      <c r="F6" s="4" t="inlineStr">
        <is>
          <t>Cohort table, persona catalogue, shadow estate list</t>
        </is>
      </c>
      <c r="G6" s="4" t="inlineStr">
        <is>
          <t>C01-C18, D01-D08</t>
        </is>
      </c>
    </row>
    <row r="7">
      <c r="A7" s="4" t="inlineStr">
        <is>
          <t>W3</t>
        </is>
      </c>
      <c r="B7" s="4" t="inlineStr">
        <is>
          <t>Identity, access and security</t>
        </is>
      </c>
      <c r="C7" s="4" t="inlineStr">
        <is>
          <t>3 hours</t>
        </is>
      </c>
      <c r="D7" s="4" t="inlineStr">
        <is>
          <t>Identity lead, security architect, security operations</t>
        </is>
      </c>
      <c r="E7" s="4" t="inlineStr">
        <is>
          <t>Entra exports, Conditional Access export, baseline documentation</t>
        </is>
      </c>
      <c r="F7" s="4" t="inlineStr">
        <is>
          <t>Identity model, control gap list, elevation audit plan</t>
        </is>
      </c>
      <c r="G7" s="4" t="inlineStr">
        <is>
          <t>F01-F12, J01-J12, B08</t>
        </is>
      </c>
    </row>
    <row r="8">
      <c r="A8" s="4" t="inlineStr">
        <is>
          <t>W4</t>
        </is>
      </c>
      <c r="B8" s="4" t="inlineStr">
        <is>
          <t>Applications</t>
        </is>
      </c>
      <c r="C8" s="4" t="inlineStr">
        <is>
          <t>3 hours</t>
        </is>
      </c>
      <c r="D8" s="4" t="inlineStr">
        <is>
          <t>Application owners, packaging team, licensing manager</t>
        </is>
      </c>
      <c r="E8" s="4" t="inlineStr">
        <is>
          <t>Application inventory with install counts</t>
        </is>
      </c>
      <c r="F8" s="4" t="inlineStr">
        <is>
          <t>Rationalised application list with keep/replace/retire and effort bands</t>
        </is>
      </c>
      <c r="G8" s="4" t="inlineStr">
        <is>
          <t>H01-H12</t>
        </is>
      </c>
    </row>
    <row r="9">
      <c r="A9" s="4" t="inlineStr">
        <is>
          <t>W5</t>
        </is>
      </c>
      <c r="B9" s="4" t="inlineStr">
        <is>
          <t>Existing estate: Group Policy and Configuration Manager</t>
        </is>
      </c>
      <c r="C9" s="4" t="inlineStr">
        <is>
          <t>3 hours</t>
        </is>
      </c>
      <c r="D9" s="4" t="inlineStr">
        <is>
          <t>AD administrator, ConfigMgr administrator, endpoint team</t>
        </is>
      </c>
      <c r="E9" s="4" t="inlineStr">
        <is>
          <t>GPO XML export, Group Policy analytics run, ConfigMgr reports</t>
        </is>
      </c>
      <c r="F9" s="4" t="inlineStr">
        <is>
          <t>GPO decision register, workload switch sequence</t>
        </is>
      </c>
      <c r="G9" s="4" t="inlineStr">
        <is>
          <t>G01-G12, I01-I04, Q01-Q08</t>
        </is>
      </c>
    </row>
    <row r="10">
      <c r="A10" s="4" t="inlineStr">
        <is>
          <t>W6</t>
        </is>
      </c>
      <c r="B10" s="4" t="inlineStr">
        <is>
          <t>Network, connectivity and PKI</t>
        </is>
      </c>
      <c r="C10" s="4" t="inlineStr">
        <is>
          <t>2 hours</t>
        </is>
      </c>
      <c r="D10" s="4" t="inlineStr">
        <is>
          <t>Network lead, PKI owner, infrastructure lead</t>
        </is>
      </c>
      <c r="E10" s="4" t="inlineStr">
        <is>
          <t>Site list, proxy configuration, PKI documentation</t>
        </is>
      </c>
      <c r="F10" s="4" t="inlineStr">
        <is>
          <t>Endpoint allow-listing actions, certificate approach inputs</t>
        </is>
      </c>
      <c r="G10" s="4" t="inlineStr">
        <is>
          <t>K01-K10, C13, I08</t>
        </is>
      </c>
    </row>
    <row r="11">
      <c r="A11" s="4" t="inlineStr">
        <is>
          <t>W7</t>
        </is>
      </c>
      <c r="B11" s="4" t="inlineStr">
        <is>
          <t>Government environment, assurance and privacy</t>
        </is>
      </c>
      <c r="C11" s="4" t="inlineStr">
        <is>
          <t>3 hours</t>
        </is>
      </c>
      <c r="D11" s="4" t="inlineStr">
        <is>
          <t>Information assurance lead, DPO, records manager, security architect, commercial</t>
        </is>
      </c>
      <c r="E11" s="4" t="inlineStr">
        <is>
          <t>Classification policy, accreditation requirements, outputs of W2, W3 and W6</t>
        </is>
      </c>
      <c r="F11" s="4" t="inlineStr">
        <is>
          <t>Environment decision inputs, feature-gap register, evidence list</t>
        </is>
      </c>
      <c r="G11" s="4" t="inlineStr">
        <is>
          <t>L01-L14, M01-M06, J08-J12, O05</t>
        </is>
      </c>
    </row>
    <row r="12">
      <c r="A12" s="4" t="inlineStr">
        <is>
          <t>W8</t>
        </is>
      </c>
      <c r="B12" s="4" t="inlineStr">
        <is>
          <t>Operations, support and resilience</t>
        </is>
      </c>
      <c r="C12" s="4" t="inlineStr">
        <is>
          <t>2 hours</t>
        </is>
      </c>
      <c r="D12" s="4" t="inlineStr">
        <is>
          <t>Service desk manager, endpoint team lead, change manager, CMDB owner</t>
        </is>
      </c>
      <c r="E12" s="4" t="inlineStr">
        <is>
          <t>12 months of ticket data, BIA output</t>
        </is>
      </c>
      <c r="F12" s="4" t="inlineStr">
        <is>
          <t>Support model inputs, RTO/RPO, reporting needs</t>
        </is>
      </c>
      <c r="G12" s="4" t="inlineStr">
        <is>
          <t>B01-B10, N01-N06, O01-O04</t>
        </is>
      </c>
    </row>
    <row r="13">
      <c r="A13" s="4" t="inlineStr">
        <is>
          <t>W9</t>
        </is>
      </c>
      <c r="B13" s="4" t="inlineStr">
        <is>
          <t>Rollout, communications and training</t>
        </is>
      </c>
      <c r="C13" s="4" t="inlineStr">
        <is>
          <t>2 hours</t>
        </is>
      </c>
      <c r="D13" s="4" t="inlineStr">
        <is>
          <t>Service owner, communications lead, agency business leads</t>
        </is>
      </c>
      <c r="E13" s="4" t="inlineStr">
        <is>
          <t>Cohort table, persona catalogue, business calendar</t>
        </is>
      </c>
      <c r="F13" s="4" t="inlineStr">
        <is>
          <t>Ring structure, phase dates, communications plan</t>
        </is>
      </c>
      <c r="G13" s="4" t="inlineStr">
        <is>
          <t>P01-P06, D08</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14" customWidth="1" min="2" max="2"/>
    <col width="46" customWidth="1" min="3" max="3"/>
    <col width="40" customWidth="1" min="4" max="4"/>
    <col width="20" customWidth="1" min="5" max="5"/>
    <col width="13" customWidth="1" min="6" max="6"/>
    <col width="26" customWidth="1" min="7" max="7"/>
    <col width="12" customWidth="1" min="8" max="8"/>
  </cols>
  <sheetData>
    <row r="1">
      <c r="A1" s="1" t="inlineStr">
        <is>
          <t>RAID log and decisions discovery must surface</t>
        </is>
      </c>
    </row>
    <row r="2">
      <c r="A2" s="2" t="inlineStr">
        <is>
          <t>Anything the register cannot close becomes a row here, and then an assumption, open issue or ADR in the HLD.</t>
        </is>
      </c>
    </row>
    <row r="4" ht="30" customHeight="1">
      <c r="A4" s="3" t="inlineStr">
        <is>
          <t>ID</t>
        </is>
      </c>
      <c r="B4" s="3" t="inlineStr">
        <is>
          <t>Type</t>
        </is>
      </c>
      <c r="C4" s="3" t="inlineStr">
        <is>
          <t>Description</t>
        </is>
      </c>
      <c r="D4" s="3" t="inlineStr">
        <is>
          <t>Impact if unresolved</t>
        </is>
      </c>
      <c r="E4" s="3" t="inlineStr">
        <is>
          <t>Owner</t>
        </is>
      </c>
      <c r="F4" s="3" t="inlineStr">
        <is>
          <t>Needed by</t>
        </is>
      </c>
      <c r="G4" s="3" t="inlineStr">
        <is>
          <t>HLD destination</t>
        </is>
      </c>
      <c r="H4" s="3" t="inlineStr">
        <is>
          <t>Status</t>
        </is>
      </c>
    </row>
    <row r="5">
      <c r="A5" s="4" t="inlineStr">
        <is>
          <t>D-01</t>
        </is>
      </c>
      <c r="B5" s="4" t="inlineStr">
        <is>
          <t>Decision</t>
        </is>
      </c>
      <c r="C5" s="4" t="inlineStr">
        <is>
          <t>Which cloud environment: commercial, GCC, GCC High, DoD or sovereign</t>
        </is>
      </c>
      <c r="D5" s="4" t="inlineStr">
        <is>
          <t>Blocks almost every other design decision, including feature availability</t>
        </is>
      </c>
      <c r="E5" s="4" t="inlineStr">
        <is>
          <t>SRO</t>
        </is>
      </c>
      <c r="F5" s="4" t="inlineStr">
        <is>
          <t>Before design starts</t>
        </is>
      </c>
      <c r="G5" s="4" t="inlineStr">
        <is>
          <t>Section 16 ADR-001</t>
        </is>
      </c>
      <c r="H5" s="4" t="inlineStr">
        <is>
          <t>Open</t>
        </is>
      </c>
    </row>
    <row r="6">
      <c r="A6" s="4" t="inlineStr">
        <is>
          <t>D-02</t>
        </is>
      </c>
      <c r="B6" s="4" t="inlineStr">
        <is>
          <t>Decision</t>
        </is>
      </c>
      <c r="C6" s="4" t="inlineStr">
        <is>
          <t>Single shared tenant with delegated scopes, or a tenant per agency</t>
        </is>
      </c>
      <c r="D6" s="4" t="inlineStr">
        <is>
          <t>Determines RBAC, reporting and separation model</t>
        </is>
      </c>
      <c r="E6" s="4" t="inlineStr">
        <is>
          <t>Enterprise architect</t>
        </is>
      </c>
      <c r="F6" s="4" t="inlineStr">
        <is>
          <t>Before design starts</t>
        </is>
      </c>
      <c r="G6" s="4" t="inlineStr">
        <is>
          <t>Section 16 ADR-003</t>
        </is>
      </c>
      <c r="H6" s="4" t="inlineStr">
        <is>
          <t>Open</t>
        </is>
      </c>
    </row>
    <row r="7">
      <c r="A7" s="4" t="inlineStr">
        <is>
          <t>D-03</t>
        </is>
      </c>
      <c r="B7" s="4" t="inlineStr">
        <is>
          <t>Decision</t>
        </is>
      </c>
      <c r="C7" s="4" t="inlineStr">
        <is>
          <t>Co-management retained, or cloud-only</t>
        </is>
      </c>
      <c r="D7" s="4" t="inlineStr">
        <is>
          <t>Determines migration scope and timeline</t>
        </is>
      </c>
      <c r="E7" s="4" t="inlineStr">
        <is>
          <t>Enterprise architect</t>
        </is>
      </c>
      <c r="F7" s="4" t="inlineStr">
        <is>
          <t>Before design starts</t>
        </is>
      </c>
      <c r="G7" s="4" t="inlineStr">
        <is>
          <t>Section 16 ADR-002</t>
        </is>
      </c>
      <c r="H7" s="4" t="inlineStr">
        <is>
          <t>Open</t>
        </is>
      </c>
    </row>
    <row r="8">
      <c r="A8" s="4" t="inlineStr">
        <is>
          <t>D-04</t>
        </is>
      </c>
      <c r="B8" s="4" t="inlineStr">
        <is>
          <t>Decision</t>
        </is>
      </c>
      <c r="C8" s="4" t="inlineStr">
        <is>
          <t>Personally owned devices: application protection only, or full enrolment</t>
        </is>
      </c>
      <c r="D8" s="4" t="inlineStr">
        <is>
          <t>Changes scope, privacy position and support model</t>
        </is>
      </c>
      <c r="E8" s="4" t="inlineStr">
        <is>
          <t>SRO</t>
        </is>
      </c>
      <c r="F8" s="4" t="inlineStr">
        <is>
          <t>Before design starts</t>
        </is>
      </c>
      <c r="G8" s="4" t="inlineStr">
        <is>
          <t>Section 16 ADR-004</t>
        </is>
      </c>
      <c r="H8" s="4" t="inlineStr">
        <is>
          <t>Open</t>
        </is>
      </c>
    </row>
    <row r="9">
      <c r="A9" s="4" t="inlineStr">
        <is>
          <t>A-01</t>
        </is>
      </c>
      <c r="B9" s="4" t="inlineStr">
        <is>
          <t>Assumption</t>
        </is>
      </c>
      <c r="C9" s="4" t="inlineStr">
        <is>
          <t>Jurisdiction is not yet confirmed; the skeleton covers US, UK, EU and Australia</t>
        </is>
      </c>
      <c r="D9" s="4" t="inlineStr">
        <is>
          <t>Section 15 cannot be written accurately, and the hosting decision stays open</t>
        </is>
      </c>
      <c r="E9" s="4" t="inlineStr">
        <is>
          <t>Information assurance lead</t>
        </is>
      </c>
      <c r="F9" s="4" t="inlineStr">
        <is>
          <t>Before design starts</t>
        </is>
      </c>
      <c r="G9" s="4" t="inlineStr">
        <is>
          <t>Section 17 assumptions</t>
        </is>
      </c>
      <c r="H9" s="4" t="inlineStr">
        <is>
          <t>Open</t>
        </is>
      </c>
    </row>
    <row r="10">
      <c r="A10" s="4" t="inlineStr">
        <is>
          <t>R-01</t>
        </is>
      </c>
      <c r="B10" s="4" t="inlineStr">
        <is>
          <t>Risk</t>
        </is>
      </c>
      <c r="C10" s="4" t="inlineStr">
        <is>
          <t>Government cloud feature gaps invalidate a design assumption late</t>
        </is>
      </c>
      <c r="D10" s="4" t="inlineStr">
        <is>
          <t>Rework and possible accreditation delay</t>
        </is>
      </c>
      <c r="E10" s="4" t="inlineStr">
        <is>
          <t>Endpoint architect</t>
        </is>
      </c>
      <c r="F10" s="4" t="inlineStr">
        <is>
          <t>During discovery</t>
        </is>
      </c>
      <c r="G10" s="4" t="inlineStr">
        <is>
          <t>Section 17 risks</t>
        </is>
      </c>
      <c r="H10" s="4" t="inlineStr">
        <is>
          <t>Open</t>
        </is>
      </c>
    </row>
    <row r="11">
      <c r="A11" s="4" t="inlineStr">
        <is>
          <t>R-02</t>
        </is>
      </c>
      <c r="B11" s="4" t="inlineStr">
        <is>
          <t>Risk</t>
        </is>
      </c>
      <c r="C11" s="4" t="inlineStr">
        <is>
          <t>Unowned Group Policy Objects carry unknown intent</t>
        </is>
      </c>
      <c r="D11" s="4" t="inlineStr">
        <is>
          <t>Settings lost or wrongly carried forward at migration</t>
        </is>
      </c>
      <c r="E11" s="4" t="inlineStr">
        <is>
          <t>AD administrator</t>
        </is>
      </c>
      <c r="F11" s="4" t="inlineStr">
        <is>
          <t>During discovery</t>
        </is>
      </c>
      <c r="G11" s="4" t="inlineStr">
        <is>
          <t>Section 17 risks</t>
        </is>
      </c>
      <c r="H11" s="4" t="inlineStr">
        <is>
          <t>Open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8"/>
  <sheetViews>
    <sheetView workbookViewId="0">
      <pane ySplit="4" topLeftCell="A5" activePane="bottomLeft" state="frozen"/>
      <selection pane="bottomLeft" activeCell="A1" sqref="A1"/>
    </sheetView>
  </sheetViews>
  <sheetFormatPr baseColWidth="8" defaultRowHeight="15"/>
  <cols>
    <col width="5" customWidth="1" min="1" max="1"/>
    <col width="52" customWidth="1" min="2" max="2"/>
    <col width="22" customWidth="1" min="3" max="3"/>
    <col width="20" customWidth="1" min="4" max="4"/>
    <col width="20" customWidth="1" min="5" max="5"/>
    <col width="11" customWidth="1" min="6" max="6"/>
    <col width="34" customWidth="1" min="7" max="7"/>
    <col width="40" customWidth="1" min="8" max="8"/>
    <col width="40" customWidth="1" min="9" max="9"/>
  </cols>
  <sheetData>
    <row r="1">
      <c r="A1" s="1" t="inlineStr">
        <is>
          <t>Sources and currency assessment</t>
        </is>
      </c>
    </row>
    <row r="2">
      <c r="A2" s="2" t="inlineStr">
        <is>
          <t>Every source used to build this pack, with its date and what was checked. Comment sections were reviewed for corrections where the platform exposes them.</t>
        </is>
      </c>
    </row>
    <row r="4" ht="30" customHeight="1">
      <c r="A4" s="3" t="inlineStr">
        <is>
          <t>#</t>
        </is>
      </c>
      <c r="B4" s="3" t="inlineStr">
        <is>
          <t>Source</t>
        </is>
      </c>
      <c r="C4" s="3" t="inlineStr">
        <is>
          <t>Publisher</t>
        </is>
      </c>
      <c r="D4" s="3" t="inlineStr">
        <is>
          <t>Type</t>
        </is>
      </c>
      <c r="E4" s="3" t="inlineStr">
        <is>
          <t>Published or updated</t>
        </is>
      </c>
      <c r="F4" s="3" t="inlineStr">
        <is>
          <t>Accessed</t>
        </is>
      </c>
      <c r="G4" s="3" t="inlineStr">
        <is>
          <t>Used for</t>
        </is>
      </c>
      <c r="H4" s="3" t="inlineStr">
        <is>
          <t>Comment section assessment</t>
        </is>
      </c>
      <c r="I4" s="3" t="inlineStr">
        <is>
          <t>Currency warning</t>
        </is>
      </c>
    </row>
    <row r="5">
      <c r="A5" s="4" t="n">
        <v>1</v>
      </c>
      <c r="B5" s="4" t="inlineStr">
        <is>
          <t>Planning guide to move to Microsoft Intune - https://learn.microsoft.com/intune/fundamentals/planning-guide</t>
        </is>
      </c>
      <c r="C5" s="4" t="inlineStr">
        <is>
          <t>Microsoft</t>
        </is>
      </c>
      <c r="D5" s="4" t="inlineStr">
        <is>
          <t>Official documentation</t>
        </is>
      </c>
      <c r="E5" s="4" t="inlineStr">
        <is>
          <t>Updated 2026-07-24 (ms.date 2026-05-28)</t>
        </is>
      </c>
      <c r="F5" s="4" t="inlineStr">
        <is>
          <t>2026-09-30</t>
        </is>
      </c>
      <c r="G5" s="4" t="inlineStr">
        <is>
          <t>The seven-step spine of this pack: objectives, device inventory, cost and licensing, existing policy review, rollout, communications, support</t>
        </is>
      </c>
      <c r="H5" s="4" t="inlineStr">
        <is>
          <t>Microsoft Learn has no reader comments; feedback goes to GitHub issues</t>
        </is>
      </c>
      <c r="I5" s="4" t="inlineStr">
        <is>
          <t>Re-check before each engagement</t>
        </is>
      </c>
    </row>
    <row r="6">
      <c r="A6" s="4" t="n">
        <v>2</v>
      </c>
      <c r="B6" s="4" t="inlineStr">
        <is>
          <t>Migration guide to Microsoft Intune - https://learn.microsoft.com/intune/fundamentals/setup-migration</t>
        </is>
      </c>
      <c r="C6" s="4" t="inlineStr">
        <is>
          <t>Microsoft</t>
        </is>
      </c>
      <c r="D6" s="4" t="inlineStr">
        <is>
          <t>Official documentation</t>
        </is>
      </c>
      <c r="E6" s="4" t="inlineStr">
        <is>
          <t>Updated 2026-07-01 (ms.date 2025-12-15)</t>
        </is>
      </c>
      <c r="F6" s="4" t="inlineStr">
        <is>
          <t>2026-09-30</t>
        </is>
      </c>
      <c r="G6" s="4" t="inlineStr">
        <is>
          <t>Migration starting positions, co-management and tenant attach options, and the tenant-to-tenant export limitations table</t>
        </is>
      </c>
      <c r="H6" s="4" t="inlineStr">
        <is>
          <t>No comments on Microsoft Learn</t>
        </is>
      </c>
      <c r="I6" s="4" t="inlineStr">
        <is>
          <t>Export limitations table is the part most often out of date</t>
        </is>
      </c>
    </row>
    <row r="7">
      <c r="A7" s="4" t="n">
        <v>3</v>
      </c>
      <c r="B7" s="4" t="inlineStr">
        <is>
          <t>Microsoft Intune Government Service overview - https://learn.microsoft.com/intune/fundamentals/government-service</t>
        </is>
      </c>
      <c r="C7" s="4" t="inlineStr">
        <is>
          <t>Microsoft</t>
        </is>
      </c>
      <c r="D7" s="4" t="inlineStr">
        <is>
          <t>Official documentation</t>
        </is>
      </c>
      <c r="E7" s="4" t="inlineStr">
        <is>
          <t>Updated 2026-09-25 (ms.date 2026-09-08)</t>
        </is>
      </c>
      <c r="F7" s="4" t="inlineStr">
        <is>
          <t>2026-09-30</t>
        </is>
      </c>
      <c r="G7" s="4" t="inlineStr">
        <is>
          <t>Every government feature gap on the Government tab, IL4/IL5 positioning, STIG library pointer, and the absence of a commercial-to-government migration path</t>
        </is>
      </c>
      <c r="H7" s="4" t="inlineStr">
        <is>
          <t>No comments on Microsoft Learn</t>
        </is>
      </c>
      <c r="I7" s="4" t="inlineStr">
        <is>
          <t>This is the fastest-moving source in the pack - features move between the supported, planned and unavailable tables</t>
        </is>
      </c>
    </row>
    <row r="8">
      <c r="A8" s="4" t="n">
        <v>4</v>
      </c>
      <c r="B8" s="4" t="inlineStr">
        <is>
          <t>Deployment plans and deployments overview - https://learn.microsoft.com/intune/device-management/deployments/overview</t>
        </is>
      </c>
      <c r="C8" s="4" t="inlineStr">
        <is>
          <t>Microsoft</t>
        </is>
      </c>
      <c r="D8" s="4" t="inlineStr">
        <is>
          <t>Official documentation</t>
        </is>
      </c>
      <c r="E8" s="4" t="inlineStr">
        <is>
          <t>Updated 2026-09-21 (ms.date 2026-08-26)</t>
        </is>
      </c>
      <c r="F8" s="4" t="inlineStr">
        <is>
          <t>2026-09-30</t>
        </is>
      </c>
      <c r="G8" s="4" t="inlineStr">
        <is>
          <t>Ring-based rollout constraints recorded on the Rollout rings tab</t>
        </is>
      </c>
      <c r="H8" s="4" t="inlineStr">
        <is>
          <t>No comments on Microsoft Learn</t>
        </is>
      </c>
      <c r="I8" s="4" t="inlineStr">
        <is>
          <t>Public preview - Windows only, Required install intent only, minimum one hour between rings</t>
        </is>
      </c>
    </row>
    <row r="9">
      <c r="A9" s="4" t="n">
        <v>5</v>
      </c>
      <c r="B9" s="4" t="inlineStr">
        <is>
          <t>Network endpoints for US government deployments - https://learn.microsoft.com/intune/intune-service/fundamentals/intune-us-government-endpoints</t>
        </is>
      </c>
      <c r="C9" s="4" t="inlineStr">
        <is>
          <t>Microsoft</t>
        </is>
      </c>
      <c r="D9" s="4" t="inlineStr">
        <is>
          <t>Official documentation</t>
        </is>
      </c>
      <c r="E9" s="4" t="inlineStr">
        <is>
          <t>Checked 2026-09-30</t>
        </is>
      </c>
      <c r="F9" s="4" t="inlineStr">
        <is>
          <t>2026-09-30</t>
        </is>
      </c>
      <c r="G9" s="4" t="inlineStr">
        <is>
          <t>Confirms government tenants use *.manage.microsoft.us and login.microsoftonline.us rather than the commercial endpoints</t>
        </is>
      </c>
      <c r="H9" s="4" t="inlineStr">
        <is>
          <t>No comments on Microsoft Learn</t>
        </is>
      </c>
      <c r="I9" s="4" t="inlineStr">
        <is>
          <t>Endpoint lists change; re-check before firewall change requests</t>
        </is>
      </c>
    </row>
    <row r="10">
      <c r="A10" s="4" t="n">
        <v>6</v>
      </c>
      <c r="B10" s="4" t="inlineStr">
        <is>
          <t>Work From Anywhere report in Endpoint analytics - https://learn.microsoft.com/intune/analytics/work-from-anywhere</t>
        </is>
      </c>
      <c r="C10" s="4" t="inlineStr">
        <is>
          <t>Microsoft</t>
        </is>
      </c>
      <c r="D10" s="4" t="inlineStr">
        <is>
          <t>Official documentation</t>
        </is>
      </c>
      <c r="E10" s="4" t="inlineStr">
        <is>
          <t>Checked 2026-09-30</t>
        </is>
      </c>
      <c r="F10" s="4" t="inlineStr">
        <is>
          <t>2026-09-30</t>
        </is>
      </c>
      <c r="G10" s="4" t="inlineStr">
        <is>
          <t>Windows 11 hardware readiness discovery method and its 29-day activity window</t>
        </is>
      </c>
      <c r="H10" s="4" t="inlineStr">
        <is>
          <t>No comments on Microsoft Learn</t>
        </is>
      </c>
      <c r="I10" s="4" t="inlineStr">
        <is>
          <t>Direct fetch of this page failed once during research; content confirmed via Microsoft Learn search results - re-verify the URL</t>
        </is>
      </c>
    </row>
    <row r="11">
      <c r="A11" s="4" t="n">
        <v>7</v>
      </c>
      <c r="B11" s="4" t="inlineStr">
        <is>
          <t>IDPDIG - Table templates (download id=103005) - https://www.microsoft.com/download/details.aspx?id=103005</t>
        </is>
      </c>
      <c r="C11" s="4" t="inlineStr">
        <is>
          <t>Microsoft</t>
        </is>
      </c>
      <c r="D11" s="4" t="inlineStr">
        <is>
          <t>Official template pack</t>
        </is>
      </c>
      <c r="E11" s="4" t="inlineStr">
        <is>
          <t>Version 1.0, published 2024-07-15</t>
        </is>
      </c>
      <c r="F11" s="4" t="inlineStr">
        <is>
          <t>2026-09-30</t>
        </is>
      </c>
      <c r="G11" s="4" t="inlineStr">
        <is>
          <t>Confirms the official table set: planning, current environment assessment, profiles, applications, compliance, and test and validation - mirrored and extended here</t>
        </is>
      </c>
      <c r="H11" s="4" t="inlineStr">
        <is>
          <t>No comments on the download centre</t>
        </is>
      </c>
      <c r="I11" s="4" t="inlineStr">
        <is>
          <t>Word format and two years old - predates the 2026 government feature changes and the deployments preview</t>
        </is>
      </c>
    </row>
    <row r="12">
      <c r="A12" s="4" t="n">
        <v>8</v>
      </c>
      <c r="B12" s="4" t="inlineStr">
        <is>
          <t>Intune tenant documentation script - https://github.com/microsoft/intune-tenant-doc</t>
        </is>
      </c>
      <c r="C12" s="4" t="inlineStr">
        <is>
          <t>Microsoft</t>
        </is>
      </c>
      <c r="D12" s="4" t="inlineStr">
        <is>
          <t>Official script (archived)</t>
        </is>
      </c>
      <c r="E12" s="4" t="inlineStr">
        <is>
          <t>Repository archived 2026-09-22</t>
        </is>
      </c>
      <c r="F12" s="4" t="inlineStr">
        <is>
          <t>2026-09-30</t>
        </is>
      </c>
      <c r="G12" s="4" t="inlineStr">
        <is>
          <t>Read-only tenant configuration capture listed on the Tooling tab</t>
        </is>
      </c>
      <c r="H12" s="4" t="inlineStr">
        <is>
          <t>Repository is archived and read-only, so no further issue discussion</t>
        </is>
      </c>
      <c r="I12" s="4" t="inlineStr">
        <is>
          <t>Archived - unmaintained; treat as a point-in-time tool</t>
        </is>
      </c>
    </row>
    <row r="13">
      <c r="A13" s="4" t="n">
        <v>9</v>
      </c>
      <c r="B13" s="4" t="inlineStr">
        <is>
          <t>Automate Microsoft Intune as-built documentation - https://stealthpuppy.com/automate-intune-documentation-github/</t>
        </is>
      </c>
      <c r="C13" s="4" t="inlineStr">
        <is>
          <t>Aaron Parker (stealthpuppy)</t>
        </is>
      </c>
      <c r="D13" s="4" t="inlineStr">
        <is>
          <t>Community / MVP blog</t>
        </is>
      </c>
      <c r="E13" s="4" t="inlineStr">
        <is>
          <t>Published 2022-03-02, updated 2026-09-28</t>
        </is>
      </c>
      <c r="F13" s="4" t="inlineStr">
        <is>
          <t>2026-09-30</t>
        </is>
      </c>
      <c r="G13" s="4" t="inlineStr">
        <is>
          <t>IntuneCD-based automated as-built approach, and the argument for version-controlled capture over static documents</t>
        </is>
      </c>
      <c r="H13" s="4" t="inlineStr">
        <is>
          <t>No reader comments present on the page</t>
        </is>
      </c>
      <c r="I13" s="4" t="inlineStr">
        <is>
          <t>Recently updated - current</t>
        </is>
      </c>
    </row>
    <row r="14">
      <c r="A14" s="4" t="n">
        <v>10</v>
      </c>
      <c r="B14" s="4" t="inlineStr">
        <is>
          <t>EPM Part 1: The end of local admin - https://msendpointmgr.com/2026/06/15/epm-part-1-the-end-of-local-admin-how-intune-endpoint-privilege-management-solves-a-problem-it-has-lived-with-for-decades/</t>
        </is>
      </c>
      <c r="C14" s="4" t="inlineStr">
        <is>
          <t>MSEndpointMgr</t>
        </is>
      </c>
      <c r="D14" s="4" t="inlineStr">
        <is>
          <t>Community / MVP blog</t>
        </is>
      </c>
      <c r="E14" s="4" t="inlineStr">
        <is>
          <t>Published 2026-06-15</t>
        </is>
      </c>
      <c r="F14" s="4" t="inlineStr">
        <is>
          <t>2026-09-30</t>
        </is>
      </c>
      <c r="G14" s="4" t="inlineStr">
        <is>
          <t>Audit-first method for local admin discovery: reporting-only elevation policy for 2-4 weeks, then persona mapping</t>
        </is>
      </c>
      <c r="H14" s="4" t="inlineStr">
        <is>
          <t>One comment (IT_Watcher, 2026-06-15) - supportive, no correction or dispute to the method</t>
        </is>
      </c>
      <c r="I14" s="4" t="inlineStr">
        <is>
          <t>Current</t>
        </is>
      </c>
    </row>
    <row r="15">
      <c r="A15" s="4" t="n">
        <v>11</v>
      </c>
      <c r="B15" s="4" t="inlineStr">
        <is>
          <t>SCCM to Intune migration: identifying applications, packages and task sequences - https://www.systemcenterdudes.com/sccm-to-microsoft-intune-migration-identifying-applications-packages-and-task-sequences/</t>
        </is>
      </c>
      <c r="C15" s="4" t="inlineStr">
        <is>
          <t>System Center Dudes</t>
        </is>
      </c>
      <c r="D15" s="4" t="inlineStr">
        <is>
          <t>Community / MVP blog</t>
        </is>
      </c>
      <c r="E15" s="4" t="inlineStr">
        <is>
          <t>Published 2025-01-28</t>
        </is>
      </c>
      <c r="F15" s="4" t="inlineStr">
        <is>
          <t>2026-09-30</t>
        </is>
      </c>
      <c r="G15" s="4" t="inlineStr">
        <is>
          <t>SQL view and SSRS reporting method for the application inventory on the Applications tab</t>
        </is>
      </c>
      <c r="H15" s="4" t="inlineStr">
        <is>
          <t>Comment count zero - nothing to assess</t>
        </is>
      </c>
      <c r="I15" s="4" t="inlineStr">
        <is>
          <t>Method is stable but pre-2026; verify view names against your site version</t>
        </is>
      </c>
    </row>
    <row r="16">
      <c r="A16" s="4" t="n">
        <v>12</v>
      </c>
      <c r="B16" s="4" t="inlineStr">
        <is>
          <t>Group Policy to Intune migration readiness guide - https://www.tiagoscarvalho.com/microsoft-intune/from-gpo-to-intune-migration-readiness-guide-2026</t>
        </is>
      </c>
      <c r="C16" s="4" t="inlineStr">
        <is>
          <t>Tiago S. Carvalho</t>
        </is>
      </c>
      <c r="D16" s="4" t="inlineStr">
        <is>
          <t>Community blog</t>
        </is>
      </c>
      <c r="E16" s="4" t="inlineStr">
        <is>
          <t>Published 2026-05-21, updated 2026-05-26</t>
        </is>
      </c>
      <c r="F16" s="4" t="inlineStr">
        <is>
          <t>2026-09-30</t>
        </is>
      </c>
      <c r="G16" s="4" t="inlineStr">
        <is>
          <t>GPO inventory register columns and the translation difficulty bands on the GPO mapping tab</t>
        </is>
      </c>
      <c r="H16" s="4" t="inlineStr">
        <is>
          <t>No comments section present on the page</t>
        </is>
      </c>
      <c r="I16" s="4" t="inlineStr">
        <is>
          <t>Author is described as a Microsoft 365 architect and technical writer - MVP status not verified; treated as a method source only, not an authority on facts</t>
        </is>
      </c>
    </row>
    <row r="17">
      <c r="A17" s="4" t="n">
        <v>13</v>
      </c>
      <c r="B17" s="4" t="inlineStr">
        <is>
          <t>IntuneManagement - https://github.com/Micke-K/IntuneManagement</t>
        </is>
      </c>
      <c r="C17" s="4" t="inlineStr">
        <is>
          <t>Mikael Karlsson</t>
        </is>
      </c>
      <c r="D17" s="4" t="inlineStr">
        <is>
          <t>Community tool</t>
        </is>
      </c>
      <c r="E17" s="4" t="inlineStr">
        <is>
          <t>Checked 2026-09-30</t>
        </is>
      </c>
      <c r="F17" s="4" t="inlineStr">
        <is>
          <t>2026-09-30</t>
        </is>
      </c>
      <c r="G17" s="4" t="inlineStr">
        <is>
          <t>Configuration export, comparison and documentation option on the Tooling tab</t>
        </is>
      </c>
      <c r="H17" s="4" t="inlineStr">
        <is>
          <t>Repository issues not individually assessed</t>
        </is>
      </c>
      <c r="I17" s="4" t="inlineStr">
        <is>
          <t>Third-party code - review before use in a government tenant</t>
        </is>
      </c>
    </row>
    <row r="18">
      <c r="A18" s="4" t="n">
        <v>14</v>
      </c>
      <c r="B18" s="4" t="inlineStr">
        <is>
          <t>Migration checklists (Configuration Manager) - https://learn.microsoft.com/intune/configmgr/core/migration/administrator-checklists-for-migration-planning</t>
        </is>
      </c>
      <c r="C18" s="4" t="inlineStr">
        <is>
          <t>Microsoft</t>
        </is>
      </c>
      <c r="D18" s="4" t="inlineStr">
        <is>
          <t>Official documentation</t>
        </is>
      </c>
      <c r="E18" s="4" t="inlineStr">
        <is>
          <t>ms.date 2016-12-29</t>
        </is>
      </c>
      <c r="F18" s="4" t="inlineStr">
        <is>
          <t>2026-09-30</t>
        </is>
      </c>
      <c r="G18" s="4" t="inlineStr">
        <is>
          <t>Reviewed and deliberately NOT used</t>
        </is>
      </c>
      <c r="H18" s="4" t="inlineStr">
        <is>
          <t>No comments on Microsoft Learn</t>
        </is>
      </c>
      <c r="I18" s="4" t="inlineStr">
        <is>
          <t>Trap: the title suggests Intune migration, but it covers Configuration Manager hierarchy-to-hierarchy migration and dates from 2016</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4"/>
  <sheetViews>
    <sheetView workbookViewId="0">
      <pane ySplit="4" topLeftCell="A5" activePane="bottomLeft" state="frozen"/>
      <selection pane="bottomLeft"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Discovery progress</t>
        </is>
      </c>
    </row>
    <row r="2">
      <c r="A2" s="2" t="inlineStr">
        <is>
          <t>Counts are formulas over the Discovery register. They populate when the workbook is opened in Excel.</t>
        </is>
      </c>
    </row>
    <row r="4" ht="30" customHeight="1">
      <c r="A4" s="3" t="inlineStr">
        <is>
          <t>Domain</t>
        </is>
      </c>
      <c r="B4" s="3" t="inlineStr">
        <is>
          <t>Questions</t>
        </is>
      </c>
      <c r="C4" s="3" t="inlineStr">
        <is>
          <t>Open</t>
        </is>
      </c>
      <c r="D4" s="3" t="inlineStr">
        <is>
          <t>In progress</t>
        </is>
      </c>
      <c r="E4" s="3" t="inlineStr">
        <is>
          <t>Answered</t>
        </is>
      </c>
      <c r="F4" s="3" t="inlineStr">
        <is>
          <t>Blocked</t>
        </is>
      </c>
      <c r="G4" s="3" t="inlineStr">
        <is>
          <t>Must-do open</t>
        </is>
      </c>
    </row>
    <row r="5">
      <c r="A5" s="4" t="inlineStr">
        <is>
          <t>Objectives and scope</t>
        </is>
      </c>
      <c r="B5" s="4">
        <f>COUNTIF('Discovery register'!$B$5:$B$173,$A5)</f>
        <v/>
      </c>
      <c r="C5" s="4">
        <f>COUNTIFS('Discovery register'!$B$5:$B$173,$A5,'Discovery register'!$L$5:$L$173,"Open")</f>
        <v/>
      </c>
      <c r="D5" s="4">
        <f>COUNTIFS('Discovery register'!$B$5:$B$173,$A5,'Discovery register'!$L$5:$L$173,"In progress")</f>
        <v/>
      </c>
      <c r="E5" s="4">
        <f>COUNTIFS('Discovery register'!$B$5:$B$173,$A5,'Discovery register'!$L$5:$L$173,"Answered")</f>
        <v/>
      </c>
      <c r="F5" s="4">
        <f>COUNTIFS('Discovery register'!$B$5:$B$173,$A5,'Discovery register'!$L$5:$L$173,"Blocked")</f>
        <v/>
      </c>
      <c r="G5" s="4">
        <f>COUNTIFS('Discovery register'!$B$5:$B$173,$A5,'Discovery register'!$G$5:$G$173,"Must",'Discovery register'!$L$5:$L$173,"Open")</f>
        <v/>
      </c>
    </row>
    <row r="6">
      <c r="A6" s="4" t="inlineStr">
        <is>
          <t>Organisation</t>
        </is>
      </c>
      <c r="B6" s="4">
        <f>COUNTIF('Discovery register'!$B$5:$B$173,$A6)</f>
        <v/>
      </c>
      <c r="C6" s="4">
        <f>COUNTIFS('Discovery register'!$B$5:$B$173,$A6,'Discovery register'!$L$5:$L$173,"Open")</f>
        <v/>
      </c>
      <c r="D6" s="4">
        <f>COUNTIFS('Discovery register'!$B$5:$B$173,$A6,'Discovery register'!$L$5:$L$173,"In progress")</f>
        <v/>
      </c>
      <c r="E6" s="4">
        <f>COUNTIFS('Discovery register'!$B$5:$B$173,$A6,'Discovery register'!$L$5:$L$173,"Answered")</f>
        <v/>
      </c>
      <c r="F6" s="4">
        <f>COUNTIFS('Discovery register'!$B$5:$B$173,$A6,'Discovery register'!$L$5:$L$173,"Blocked")</f>
        <v/>
      </c>
      <c r="G6" s="4">
        <f>COUNTIFS('Discovery register'!$B$5:$B$173,$A6,'Discovery register'!$G$5:$G$173,"Must",'Discovery register'!$L$5:$L$173,"Open")</f>
        <v/>
      </c>
    </row>
    <row r="7">
      <c r="A7" s="4" t="inlineStr">
        <is>
          <t>Device estate</t>
        </is>
      </c>
      <c r="B7" s="4">
        <f>COUNTIF('Discovery register'!$B$5:$B$173,$A7)</f>
        <v/>
      </c>
      <c r="C7" s="4">
        <f>COUNTIFS('Discovery register'!$B$5:$B$173,$A7,'Discovery register'!$L$5:$L$173,"Open")</f>
        <v/>
      </c>
      <c r="D7" s="4">
        <f>COUNTIFS('Discovery register'!$B$5:$B$173,$A7,'Discovery register'!$L$5:$L$173,"In progress")</f>
        <v/>
      </c>
      <c r="E7" s="4">
        <f>COUNTIFS('Discovery register'!$B$5:$B$173,$A7,'Discovery register'!$L$5:$L$173,"Answered")</f>
        <v/>
      </c>
      <c r="F7" s="4">
        <f>COUNTIFS('Discovery register'!$B$5:$B$173,$A7,'Discovery register'!$L$5:$L$173,"Blocked")</f>
        <v/>
      </c>
      <c r="G7" s="4">
        <f>COUNTIFS('Discovery register'!$B$5:$B$173,$A7,'Discovery register'!$G$5:$G$173,"Must",'Discovery register'!$L$5:$L$173,"Open")</f>
        <v/>
      </c>
    </row>
    <row r="8">
      <c r="A8" s="4" t="inlineStr">
        <is>
          <t>Personas</t>
        </is>
      </c>
      <c r="B8" s="4">
        <f>COUNTIF('Discovery register'!$B$5:$B$173,$A8)</f>
        <v/>
      </c>
      <c r="C8" s="4">
        <f>COUNTIFS('Discovery register'!$B$5:$B$173,$A8,'Discovery register'!$L$5:$L$173,"Open")</f>
        <v/>
      </c>
      <c r="D8" s="4">
        <f>COUNTIFS('Discovery register'!$B$5:$B$173,$A8,'Discovery register'!$L$5:$L$173,"In progress")</f>
        <v/>
      </c>
      <c r="E8" s="4">
        <f>COUNTIFS('Discovery register'!$B$5:$B$173,$A8,'Discovery register'!$L$5:$L$173,"Answered")</f>
        <v/>
      </c>
      <c r="F8" s="4">
        <f>COUNTIFS('Discovery register'!$B$5:$B$173,$A8,'Discovery register'!$L$5:$L$173,"Blocked")</f>
        <v/>
      </c>
      <c r="G8" s="4">
        <f>COUNTIFS('Discovery register'!$B$5:$B$173,$A8,'Discovery register'!$G$5:$G$173,"Must",'Discovery register'!$L$5:$L$173,"Open")</f>
        <v/>
      </c>
    </row>
    <row r="9">
      <c r="A9" s="4" t="inlineStr">
        <is>
          <t>Licensing and cost</t>
        </is>
      </c>
      <c r="B9" s="4">
        <f>COUNTIF('Discovery register'!$B$5:$B$173,$A9)</f>
        <v/>
      </c>
      <c r="C9" s="4">
        <f>COUNTIFS('Discovery register'!$B$5:$B$173,$A9,'Discovery register'!$L$5:$L$173,"Open")</f>
        <v/>
      </c>
      <c r="D9" s="4">
        <f>COUNTIFS('Discovery register'!$B$5:$B$173,$A9,'Discovery register'!$L$5:$L$173,"In progress")</f>
        <v/>
      </c>
      <c r="E9" s="4">
        <f>COUNTIFS('Discovery register'!$B$5:$B$173,$A9,'Discovery register'!$L$5:$L$173,"Answered")</f>
        <v/>
      </c>
      <c r="F9" s="4">
        <f>COUNTIFS('Discovery register'!$B$5:$B$173,$A9,'Discovery register'!$L$5:$L$173,"Blocked")</f>
        <v/>
      </c>
      <c r="G9" s="4">
        <f>COUNTIFS('Discovery register'!$B$5:$B$173,$A9,'Discovery register'!$G$5:$G$173,"Must",'Discovery register'!$L$5:$L$173,"Open")</f>
        <v/>
      </c>
    </row>
    <row r="10">
      <c r="A10" s="4" t="inlineStr">
        <is>
          <t>Identity and access</t>
        </is>
      </c>
      <c r="B10" s="4">
        <f>COUNTIF('Discovery register'!$B$5:$B$173,$A10)</f>
        <v/>
      </c>
      <c r="C10" s="4">
        <f>COUNTIFS('Discovery register'!$B$5:$B$173,$A10,'Discovery register'!$L$5:$L$173,"Open")</f>
        <v/>
      </c>
      <c r="D10" s="4">
        <f>COUNTIFS('Discovery register'!$B$5:$B$173,$A10,'Discovery register'!$L$5:$L$173,"In progress")</f>
        <v/>
      </c>
      <c r="E10" s="4">
        <f>COUNTIFS('Discovery register'!$B$5:$B$173,$A10,'Discovery register'!$L$5:$L$173,"Answered")</f>
        <v/>
      </c>
      <c r="F10" s="4">
        <f>COUNTIFS('Discovery register'!$B$5:$B$173,$A10,'Discovery register'!$L$5:$L$173,"Blocked")</f>
        <v/>
      </c>
      <c r="G10" s="4">
        <f>COUNTIFS('Discovery register'!$B$5:$B$173,$A10,'Discovery register'!$G$5:$G$173,"Must",'Discovery register'!$L$5:$L$173,"Open")</f>
        <v/>
      </c>
    </row>
    <row r="11">
      <c r="A11" s="4" t="inlineStr">
        <is>
          <t>Existing policy</t>
        </is>
      </c>
      <c r="B11" s="4">
        <f>COUNTIF('Discovery register'!$B$5:$B$173,$A11)</f>
        <v/>
      </c>
      <c r="C11" s="4">
        <f>COUNTIFS('Discovery register'!$B$5:$B$173,$A11,'Discovery register'!$L$5:$L$173,"Open")</f>
        <v/>
      </c>
      <c r="D11" s="4">
        <f>COUNTIFS('Discovery register'!$B$5:$B$173,$A11,'Discovery register'!$L$5:$L$173,"In progress")</f>
        <v/>
      </c>
      <c r="E11" s="4">
        <f>COUNTIFS('Discovery register'!$B$5:$B$173,$A11,'Discovery register'!$L$5:$L$173,"Answered")</f>
        <v/>
      </c>
      <c r="F11" s="4">
        <f>COUNTIFS('Discovery register'!$B$5:$B$173,$A11,'Discovery register'!$L$5:$L$173,"Blocked")</f>
        <v/>
      </c>
      <c r="G11" s="4">
        <f>COUNTIFS('Discovery register'!$B$5:$B$173,$A11,'Discovery register'!$G$5:$G$173,"Must",'Discovery register'!$L$5:$L$173,"Open")</f>
        <v/>
      </c>
    </row>
    <row r="12">
      <c r="A12" s="4" t="inlineStr">
        <is>
          <t>Applications</t>
        </is>
      </c>
      <c r="B12" s="4">
        <f>COUNTIF('Discovery register'!$B$5:$B$173,$A12)</f>
        <v/>
      </c>
      <c r="C12" s="4">
        <f>COUNTIFS('Discovery register'!$B$5:$B$173,$A12,'Discovery register'!$L$5:$L$173,"Open")</f>
        <v/>
      </c>
      <c r="D12" s="4">
        <f>COUNTIFS('Discovery register'!$B$5:$B$173,$A12,'Discovery register'!$L$5:$L$173,"In progress")</f>
        <v/>
      </c>
      <c r="E12" s="4">
        <f>COUNTIFS('Discovery register'!$B$5:$B$173,$A12,'Discovery register'!$L$5:$L$173,"Answered")</f>
        <v/>
      </c>
      <c r="F12" s="4">
        <f>COUNTIFS('Discovery register'!$B$5:$B$173,$A12,'Discovery register'!$L$5:$L$173,"Blocked")</f>
        <v/>
      </c>
      <c r="G12" s="4">
        <f>COUNTIFS('Discovery register'!$B$5:$B$173,$A12,'Discovery register'!$G$5:$G$173,"Must",'Discovery register'!$L$5:$L$173,"Open")</f>
        <v/>
      </c>
    </row>
    <row r="13">
      <c r="A13" s="4" t="inlineStr">
        <is>
          <t>Updates</t>
        </is>
      </c>
      <c r="B13" s="4">
        <f>COUNTIF('Discovery register'!$B$5:$B$173,$A13)</f>
        <v/>
      </c>
      <c r="C13" s="4">
        <f>COUNTIFS('Discovery register'!$B$5:$B$173,$A13,'Discovery register'!$L$5:$L$173,"Open")</f>
        <v/>
      </c>
      <c r="D13" s="4">
        <f>COUNTIFS('Discovery register'!$B$5:$B$173,$A13,'Discovery register'!$L$5:$L$173,"In progress")</f>
        <v/>
      </c>
      <c r="E13" s="4">
        <f>COUNTIFS('Discovery register'!$B$5:$B$173,$A13,'Discovery register'!$L$5:$L$173,"Answered")</f>
        <v/>
      </c>
      <c r="F13" s="4">
        <f>COUNTIFS('Discovery register'!$B$5:$B$173,$A13,'Discovery register'!$L$5:$L$173,"Blocked")</f>
        <v/>
      </c>
      <c r="G13" s="4">
        <f>COUNTIFS('Discovery register'!$B$5:$B$173,$A13,'Discovery register'!$G$5:$G$173,"Must",'Discovery register'!$L$5:$L$173,"Open")</f>
        <v/>
      </c>
    </row>
    <row r="14">
      <c r="A14" s="4" t="inlineStr">
        <is>
          <t>Security</t>
        </is>
      </c>
      <c r="B14" s="4">
        <f>COUNTIF('Discovery register'!$B$5:$B$173,$A14)</f>
        <v/>
      </c>
      <c r="C14" s="4">
        <f>COUNTIFS('Discovery register'!$B$5:$B$173,$A14,'Discovery register'!$L$5:$L$173,"Open")</f>
        <v/>
      </c>
      <c r="D14" s="4">
        <f>COUNTIFS('Discovery register'!$B$5:$B$173,$A14,'Discovery register'!$L$5:$L$173,"In progress")</f>
        <v/>
      </c>
      <c r="E14" s="4">
        <f>COUNTIFS('Discovery register'!$B$5:$B$173,$A14,'Discovery register'!$L$5:$L$173,"Answered")</f>
        <v/>
      </c>
      <c r="F14" s="4">
        <f>COUNTIFS('Discovery register'!$B$5:$B$173,$A14,'Discovery register'!$L$5:$L$173,"Blocked")</f>
        <v/>
      </c>
      <c r="G14" s="4">
        <f>COUNTIFS('Discovery register'!$B$5:$B$173,$A14,'Discovery register'!$G$5:$G$173,"Must",'Discovery register'!$L$5:$L$173,"Open")</f>
        <v/>
      </c>
    </row>
    <row r="15">
      <c r="A15" s="4" t="inlineStr">
        <is>
          <t>Network and PKI</t>
        </is>
      </c>
      <c r="B15" s="4">
        <f>COUNTIF('Discovery register'!$B$5:$B$173,$A15)</f>
        <v/>
      </c>
      <c r="C15" s="4">
        <f>COUNTIFS('Discovery register'!$B$5:$B$173,$A15,'Discovery register'!$L$5:$L$173,"Open")</f>
        <v/>
      </c>
      <c r="D15" s="4">
        <f>COUNTIFS('Discovery register'!$B$5:$B$173,$A15,'Discovery register'!$L$5:$L$173,"In progress")</f>
        <v/>
      </c>
      <c r="E15" s="4">
        <f>COUNTIFS('Discovery register'!$B$5:$B$173,$A15,'Discovery register'!$L$5:$L$173,"Answered")</f>
        <v/>
      </c>
      <c r="F15" s="4">
        <f>COUNTIFS('Discovery register'!$B$5:$B$173,$A15,'Discovery register'!$L$5:$L$173,"Blocked")</f>
        <v/>
      </c>
      <c r="G15" s="4">
        <f>COUNTIFS('Discovery register'!$B$5:$B$173,$A15,'Discovery register'!$G$5:$G$173,"Must",'Discovery register'!$L$5:$L$173,"Open")</f>
        <v/>
      </c>
    </row>
    <row r="16">
      <c r="A16" s="4" t="inlineStr">
        <is>
          <t>Government</t>
        </is>
      </c>
      <c r="B16" s="4">
        <f>COUNTIF('Discovery register'!$B$5:$B$173,$A16)</f>
        <v/>
      </c>
      <c r="C16" s="4">
        <f>COUNTIFS('Discovery register'!$B$5:$B$173,$A16,'Discovery register'!$L$5:$L$173,"Open")</f>
        <v/>
      </c>
      <c r="D16" s="4">
        <f>COUNTIFS('Discovery register'!$B$5:$B$173,$A16,'Discovery register'!$L$5:$L$173,"In progress")</f>
        <v/>
      </c>
      <c r="E16" s="4">
        <f>COUNTIFS('Discovery register'!$B$5:$B$173,$A16,'Discovery register'!$L$5:$L$173,"Answered")</f>
        <v/>
      </c>
      <c r="F16" s="4">
        <f>COUNTIFS('Discovery register'!$B$5:$B$173,$A16,'Discovery register'!$L$5:$L$173,"Blocked")</f>
        <v/>
      </c>
      <c r="G16" s="4">
        <f>COUNTIFS('Discovery register'!$B$5:$B$173,$A16,'Discovery register'!$G$5:$G$173,"Must",'Discovery register'!$L$5:$L$173,"Open")</f>
        <v/>
      </c>
    </row>
    <row r="17">
      <c r="A17" s="4" t="inlineStr">
        <is>
          <t>Data and privacy</t>
        </is>
      </c>
      <c r="B17" s="4">
        <f>COUNTIF('Discovery register'!$B$5:$B$173,$A17)</f>
        <v/>
      </c>
      <c r="C17" s="4">
        <f>COUNTIFS('Discovery register'!$B$5:$B$173,$A17,'Discovery register'!$L$5:$L$173,"Open")</f>
        <v/>
      </c>
      <c r="D17" s="4">
        <f>COUNTIFS('Discovery register'!$B$5:$B$173,$A17,'Discovery register'!$L$5:$L$173,"In progress")</f>
        <v/>
      </c>
      <c r="E17" s="4">
        <f>COUNTIFS('Discovery register'!$B$5:$B$173,$A17,'Discovery register'!$L$5:$L$173,"Answered")</f>
        <v/>
      </c>
      <c r="F17" s="4">
        <f>COUNTIFS('Discovery register'!$B$5:$B$173,$A17,'Discovery register'!$L$5:$L$173,"Blocked")</f>
        <v/>
      </c>
      <c r="G17" s="4">
        <f>COUNTIFS('Discovery register'!$B$5:$B$173,$A17,'Discovery register'!$G$5:$G$173,"Must",'Discovery register'!$L$5:$L$173,"Open")</f>
        <v/>
      </c>
    </row>
    <row r="18">
      <c r="A18" s="4" t="inlineStr">
        <is>
          <t>Service management</t>
        </is>
      </c>
      <c r="B18" s="4">
        <f>COUNTIF('Discovery register'!$B$5:$B$173,$A18)</f>
        <v/>
      </c>
      <c r="C18" s="4">
        <f>COUNTIFS('Discovery register'!$B$5:$B$173,$A18,'Discovery register'!$L$5:$L$173,"Open")</f>
        <v/>
      </c>
      <c r="D18" s="4">
        <f>COUNTIFS('Discovery register'!$B$5:$B$173,$A18,'Discovery register'!$L$5:$L$173,"In progress")</f>
        <v/>
      </c>
      <c r="E18" s="4">
        <f>COUNTIFS('Discovery register'!$B$5:$B$173,$A18,'Discovery register'!$L$5:$L$173,"Answered")</f>
        <v/>
      </c>
      <c r="F18" s="4">
        <f>COUNTIFS('Discovery register'!$B$5:$B$173,$A18,'Discovery register'!$L$5:$L$173,"Blocked")</f>
        <v/>
      </c>
      <c r="G18" s="4">
        <f>COUNTIFS('Discovery register'!$B$5:$B$173,$A18,'Discovery register'!$G$5:$G$173,"Must",'Discovery register'!$L$5:$L$173,"Open")</f>
        <v/>
      </c>
    </row>
    <row r="19">
      <c r="A19" s="4" t="inlineStr">
        <is>
          <t>Resilience</t>
        </is>
      </c>
      <c r="B19" s="4">
        <f>COUNTIF('Discovery register'!$B$5:$B$173,$A19)</f>
        <v/>
      </c>
      <c r="C19" s="4">
        <f>COUNTIFS('Discovery register'!$B$5:$B$173,$A19,'Discovery register'!$L$5:$L$173,"Open")</f>
        <v/>
      </c>
      <c r="D19" s="4">
        <f>COUNTIFS('Discovery register'!$B$5:$B$173,$A19,'Discovery register'!$L$5:$L$173,"In progress")</f>
        <v/>
      </c>
      <c r="E19" s="4">
        <f>COUNTIFS('Discovery register'!$B$5:$B$173,$A19,'Discovery register'!$L$5:$L$173,"Answered")</f>
        <v/>
      </c>
      <c r="F19" s="4">
        <f>COUNTIFS('Discovery register'!$B$5:$B$173,$A19,'Discovery register'!$L$5:$L$173,"Blocked")</f>
        <v/>
      </c>
      <c r="G19" s="4">
        <f>COUNTIFS('Discovery register'!$B$5:$B$173,$A19,'Discovery register'!$G$5:$G$173,"Must",'Discovery register'!$L$5:$L$173,"Open")</f>
        <v/>
      </c>
    </row>
    <row r="20">
      <c r="A20" s="4" t="inlineStr">
        <is>
          <t>Rollout</t>
        </is>
      </c>
      <c r="B20" s="4">
        <f>COUNTIF('Discovery register'!$B$5:$B$173,$A20)</f>
        <v/>
      </c>
      <c r="C20" s="4">
        <f>COUNTIFS('Discovery register'!$B$5:$B$173,$A20,'Discovery register'!$L$5:$L$173,"Open")</f>
        <v/>
      </c>
      <c r="D20" s="4">
        <f>COUNTIFS('Discovery register'!$B$5:$B$173,$A20,'Discovery register'!$L$5:$L$173,"In progress")</f>
        <v/>
      </c>
      <c r="E20" s="4">
        <f>COUNTIFS('Discovery register'!$B$5:$B$173,$A20,'Discovery register'!$L$5:$L$173,"Answered")</f>
        <v/>
      </c>
      <c r="F20" s="4">
        <f>COUNTIFS('Discovery register'!$B$5:$B$173,$A20,'Discovery register'!$L$5:$L$173,"Blocked")</f>
        <v/>
      </c>
      <c r="G20" s="4">
        <f>COUNTIFS('Discovery register'!$B$5:$B$173,$A20,'Discovery register'!$G$5:$G$173,"Must",'Discovery register'!$L$5:$L$173,"Open")</f>
        <v/>
      </c>
    </row>
    <row r="21">
      <c r="A21" s="4" t="inlineStr">
        <is>
          <t>Migration source</t>
        </is>
      </c>
      <c r="B21" s="4">
        <f>COUNTIF('Discovery register'!$B$5:$B$173,$A21)</f>
        <v/>
      </c>
      <c r="C21" s="4">
        <f>COUNTIFS('Discovery register'!$B$5:$B$173,$A21,'Discovery register'!$L$5:$L$173,"Open")</f>
        <v/>
      </c>
      <c r="D21" s="4">
        <f>COUNTIFS('Discovery register'!$B$5:$B$173,$A21,'Discovery register'!$L$5:$L$173,"In progress")</f>
        <v/>
      </c>
      <c r="E21" s="4">
        <f>COUNTIFS('Discovery register'!$B$5:$B$173,$A21,'Discovery register'!$L$5:$L$173,"Answered")</f>
        <v/>
      </c>
      <c r="F21" s="4">
        <f>COUNTIFS('Discovery register'!$B$5:$B$173,$A21,'Discovery register'!$L$5:$L$173,"Blocked")</f>
        <v/>
      </c>
      <c r="G21" s="4">
        <f>COUNTIFS('Discovery register'!$B$5:$B$173,$A21,'Discovery register'!$G$5:$G$173,"Must",'Discovery register'!$L$5:$L$173,"Open")</f>
        <v/>
      </c>
    </row>
    <row r="22">
      <c r="A22" s="4" t="inlineStr">
        <is>
          <t>Total</t>
        </is>
      </c>
      <c r="B22" s="4">
        <f>SUM(B5:B21)</f>
        <v/>
      </c>
      <c r="C22" s="4">
        <f>SUM(C5:C21)</f>
        <v/>
      </c>
      <c r="D22" s="4">
        <f>SUM(D5:D21)</f>
        <v/>
      </c>
      <c r="E22" s="4">
        <f>SUM(E5:E21)</f>
        <v/>
      </c>
      <c r="F22" s="4">
        <f>SUM(F5:F21)</f>
        <v/>
      </c>
      <c r="G22" s="4">
        <f>SUM(G5:G21)</f>
        <v/>
      </c>
    </row>
    <row r="23">
      <c r="A23" s="4" t="inlineStr">
        <is>
          <t>Government feature gaps flagged in the register</t>
        </is>
      </c>
      <c r="B23" s="4">
        <f>COUNTIF('Discovery register'!$I$5:$I$173,"GOV GAP*")</f>
        <v/>
      </c>
      <c r="C23" s="4" t="inlineStr"/>
      <c r="D23" s="4" t="inlineStr"/>
      <c r="E23" s="4" t="inlineStr"/>
      <c r="F23" s="4" t="inlineStr"/>
      <c r="G23" s="4" t="inlineStr"/>
    </row>
    <row r="24">
      <c r="A24" s="4" t="inlineStr">
        <is>
          <t>Note</t>
        </is>
      </c>
      <c r="B24" s="4" t="inlineStr">
        <is>
          <t>Every flagged row must be confirmed against the Microsoft government service description before the design relies on it.</t>
        </is>
      </c>
      <c r="C24" s="4" t="inlineStr"/>
      <c r="D24" s="4" t="inlineStr"/>
      <c r="E24" s="4" t="inlineStr"/>
      <c r="F24" s="4" t="inlineStr"/>
      <c r="G24"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2026-09-30T12:01:37Z</dcterms:created>
  <dcterms:modified xsi:type="dcterms:W3CDTF">2026-09-30T12:01:38Z</dcterms:modified>
</cp:coreProperties>
</file>